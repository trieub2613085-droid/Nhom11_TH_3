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điểm" sheetId="1" r:id="rId4"/>
    <sheet state="visible" name="Điểm thực hành các buổi" sheetId="2" r:id="rId5"/>
    <sheet state="visible" name="Điểm bài tập lớn" sheetId="3" r:id="rId6"/>
    <sheet state="visible" name="Điểm lý thuyết" sheetId="4" r:id="rId7"/>
    <sheet state="visible" name="Các bảng tham chiếu &amp; Thống kê" sheetId="5" r:id="rId8"/>
    <sheet state="visible" name="Sinh viên &lt;7" sheetId="6" r:id="rId9"/>
    <sheet state="visible" name="Sinh viên &gt;=7" sheetId="7" r:id="rId10"/>
  </sheets>
  <definedNames/>
  <calcPr/>
  <extLst>
    <ext uri="GoogleSheetsCustomDataVersion2">
      <go:sheetsCustomData xmlns:go="http://customooxmlschemas.google.com/" r:id="rId11" roundtripDataChecksum="nlX/6wHIgMpl6MgxUahbwFjgQ0dpo1LzumCRqLnz8ao="/>
    </ext>
  </extLst>
</workbook>
</file>

<file path=xl/sharedStrings.xml><?xml version="1.0" encoding="utf-8"?>
<sst xmlns="http://schemas.openxmlformats.org/spreadsheetml/2006/main" count="545" uniqueCount="163">
  <si>
    <t>Bảng Điểm bài tập lớn</t>
  </si>
  <si>
    <t>Bảng Điểm thực hành các buổi</t>
  </si>
  <si>
    <t>Bảng Điểm lý thuyết</t>
  </si>
  <si>
    <t>ĐIỂM THI HK1-2018-2019 (CT428)</t>
  </si>
  <si>
    <t>STT</t>
  </si>
  <si>
    <t>Mã SV</t>
  </si>
  <si>
    <t>Họ và Tên</t>
  </si>
  <si>
    <t>Điểm TH 1</t>
  </si>
  <si>
    <t>Điểm TH 2</t>
  </si>
  <si>
    <t>Ma CB</t>
  </si>
  <si>
    <t>Điểm TH 3</t>
  </si>
  <si>
    <t>Ho va ten</t>
  </si>
  <si>
    <t>Nguyen Minh Trung</t>
  </si>
  <si>
    <t>Điểm BL lớn</t>
  </si>
  <si>
    <t>B1505719</t>
  </si>
  <si>
    <t>Nguyễn Phước Hiếu</t>
  </si>
  <si>
    <t>Điểm lý thuyết</t>
  </si>
  <si>
    <t>Ma MH</t>
  </si>
  <si>
    <t>CT428</t>
  </si>
  <si>
    <t>Ma NH</t>
  </si>
  <si>
    <t>B1505915</t>
  </si>
  <si>
    <t>Lý Minh Trí</t>
  </si>
  <si>
    <t>B1509874</t>
  </si>
  <si>
    <t>Nguyễn Kiều Mi</t>
  </si>
  <si>
    <t>Nam hoc</t>
  </si>
  <si>
    <t>2020-2021</t>
  </si>
  <si>
    <t>Hoc ky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</si>
  <si>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</si>
  <si>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</si>
  <si>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</si>
  <si>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</si>
  <si>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</si>
  <si>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</si>
  <si>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</si>
  <si>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</si>
  <si>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Điểm BT lớn</t>
  </si>
  <si>
    <t>Điểm LT</t>
  </si>
  <si>
    <t>Điểm tổng</t>
  </si>
  <si>
    <t>Điểm theo thang điểm 10</t>
  </si>
  <si>
    <t>Điểm chữ</t>
  </si>
  <si>
    <t>B1605257</t>
  </si>
  <si>
    <t>Quách Thu Vân</t>
  </si>
  <si>
    <t>0B1505719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</si>
  <si>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</si>
  <si>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</si>
  <si>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</si>
  <si>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</si>
  <si>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</si>
  <si>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</si>
  <si>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</si>
  <si>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</si>
  <si>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</si>
  <si>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</si>
  <si>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</si>
  <si>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</si>
  <si>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</si>
  <si>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</si>
  <si>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</si>
  <si>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</si>
  <si>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</si>
  <si>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</si>
  <si>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</si>
  <si>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</si>
  <si>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</si>
  <si>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</si>
  <si>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</si>
  <si>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</si>
  <si>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</si>
  <si>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</si>
  <si>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</si>
  <si>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</si>
  <si>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</si>
  <si>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</si>
  <si>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</si>
  <si>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</si>
  <si>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</si>
  <si>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</si>
  <si>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</si>
  <si>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</si>
  <si>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</si>
  <si>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</si>
  <si>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</si>
  <si>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</si>
  <si>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</si>
  <si>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</si>
  <si>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1B1505915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</si>
  <si>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</si>
  <si>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</si>
  <si>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</si>
  <si>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</si>
  <si>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</si>
  <si>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</si>
  <si>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</si>
  <si>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</si>
  <si>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</si>
  <si>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</si>
  <si>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</si>
  <si>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</si>
  <si>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</si>
  <si>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</si>
  <si>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</si>
  <si>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</si>
  <si>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0B1509874</t>
  </si>
  <si>
    <t>B1709289</t>
  </si>
  <si>
    <t>Nguyễn Ngọc Luyến</t>
  </si>
  <si>
    <t>B1709313</t>
  </si>
  <si>
    <t>Võ Thị Thùy Trang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</si>
  <si>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</si>
  <si>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</si>
  <si>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</si>
  <si>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</si>
  <si>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</si>
  <si>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</si>
  <si>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</si>
  <si>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</si>
  <si>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</si>
  <si>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</si>
  <si>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</si>
  <si>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</si>
  <si>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</si>
  <si>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</si>
  <si>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</si>
  <si>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</si>
  <si>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</si>
  <si>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</si>
  <si>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</si>
  <si>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</si>
  <si>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</si>
  <si>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</si>
  <si>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</si>
  <si>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</si>
  <si>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</si>
  <si>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</si>
  <si>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</si>
  <si>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</si>
  <si>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</si>
  <si>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</si>
  <si>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</si>
  <si>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</si>
  <si>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</si>
  <si>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</si>
  <si>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</si>
  <si>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</si>
  <si>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</si>
  <si>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</si>
  <si>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</si>
  <si>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</si>
  <si>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</si>
  <si>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</si>
  <si>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</si>
  <si>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</si>
  <si>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</si>
  <si>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</si>
  <si>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</si>
  <si>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</si>
  <si>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</si>
  <si>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</si>
  <si>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</si>
  <si>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</si>
  <si>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</si>
  <si>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</si>
  <si>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</si>
  <si>
    <t>&gt;=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</si>
</sst>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Times New Roman"/>
      <scheme val="minor"/>
    </font>
    <font>
      <sz val="12.0"/>
      <color rgb="FF000000"/>
      <name val="Times New Roman"/>
    </font>
    <font>
      <b/>
      <sz val="16.0"/>
      <color rgb="FF000000"/>
      <name val="Times New Roman"/>
    </font>
    <font/>
    <font>
      <sz val="10.0"/>
      <color rgb="FF000000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2.0"/>
      <color theme="1"/>
      <name val="Times New Roman"/>
    </font>
    <font>
      <b/>
      <sz val="16.0"/>
      <color rgb="FF002060"/>
      <name val="Times New Roman"/>
    </font>
    <font>
      <b/>
      <sz val="12.0"/>
      <color rgb="FF00206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sz val="12.0"/>
      <color theme="0"/>
      <name val="Times New Roman"/>
    </font>
    <font>
      <sz val="10.0"/>
      <color theme="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0"/>
    </xf>
    <xf borderId="2" fillId="7" fontId="8" numFmtId="0" xfId="0" applyAlignment="1" applyBorder="1" applyFill="1" applyFont="1">
      <alignment horizontal="center" shrinkToFit="0" vertical="bottom" wrapText="0"/>
    </xf>
    <xf borderId="1" fillId="7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7" fontId="9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Calibri"/>
              </a:defRPr>
            </a:pPr>
            <a:r>
              <a:rPr b="1" i="0" sz="1800">
                <a:solidFill>
                  <a:schemeClr val="dk1"/>
                </a:solidFill>
                <a:latin typeface="Calibri"/>
              </a:rPr>
              <a:t>Thống kê số lượng sinh viên theo điểm chữ</a:t>
            </a:r>
          </a:p>
        </c:rich>
      </c:tx>
      <c:layout>
        <c:manualLayout>
          <c:xMode val="edge"/>
          <c:yMode val="edge"/>
          <c:x val="0.15704533213130897"/>
          <c:y val="0.03065034955069724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'Các bảng tham chiếu &amp; Thống kê'!$E$14:$E$21</c:f>
            </c:strRef>
          </c:cat>
          <c:val>
            <c:numRef>
              <c:f>'Các bảng tham chiếu &amp; Thống kê'!$F$14:$F$21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845583156386707"/>
          <c:y val="0.33716995130596045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Calibri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13</xdr:row>
      <xdr:rowOff>142875</xdr:rowOff>
    </xdr:from>
    <xdr:ext cx="5267325" cy="3276600"/>
    <xdr:graphicFrame>
      <xdr:nvGraphicFramePr>
        <xdr:cNvPr id="674817302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71"/>
    <col customWidth="1" min="2" max="2" width="15.71"/>
    <col customWidth="1" min="3" max="3" width="31.71"/>
    <col customWidth="1" min="4" max="9" width="15.71"/>
    <col customWidth="1" min="10" max="10" width="19.71"/>
    <col customWidth="1" min="11" max="26" width="15.71"/>
  </cols>
  <sheetData>
    <row r="1" ht="15.75" customHeight="1">
      <c r="A1" s="1"/>
      <c r="B1" s="8" t="s">
        <v>3</v>
      </c>
      <c r="C1" s="4"/>
      <c r="D1" s="4"/>
      <c r="E1" s="4"/>
      <c r="F1" s="4"/>
      <c r="G1" s="4"/>
      <c r="H1" s="6"/>
      <c r="I1" s="1"/>
      <c r="J1" s="1"/>
      <c r="K1" s="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"/>
      <c r="B2" s="13" t="s">
        <v>9</v>
      </c>
      <c r="C2" s="13">
        <v>1043.0</v>
      </c>
      <c r="D2" s="15" t="s">
        <v>11</v>
      </c>
      <c r="E2" s="6"/>
      <c r="F2" s="15" t="s">
        <v>12</v>
      </c>
      <c r="G2" s="4"/>
      <c r="H2" s="6"/>
      <c r="I2" s="1"/>
      <c r="J2" s="1"/>
      <c r="K2" s="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"/>
      <c r="B3" s="13" t="s">
        <v>17</v>
      </c>
      <c r="C3" s="13" t="s">
        <v>18</v>
      </c>
      <c r="D3" s="15" t="s">
        <v>19</v>
      </c>
      <c r="E3" s="6"/>
      <c r="F3" s="15">
        <v>8.0</v>
      </c>
      <c r="G3" s="4"/>
      <c r="H3" s="6"/>
      <c r="I3" s="1"/>
      <c r="J3" s="1"/>
      <c r="K3" s="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"/>
      <c r="B4" s="13" t="s">
        <v>24</v>
      </c>
      <c r="C4" s="13" t="s">
        <v>25</v>
      </c>
      <c r="D4" s="15" t="s">
        <v>26</v>
      </c>
      <c r="E4" s="6"/>
      <c r="F4" s="15">
        <v>1.0</v>
      </c>
      <c r="G4" s="4"/>
      <c r="H4" s="6"/>
      <c r="I4" s="1"/>
      <c r="J4" s="1"/>
      <c r="K4" s="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1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10</v>
      </c>
      <c r="G6" s="21" t="s">
        <v>35</v>
      </c>
      <c r="H6" s="21" t="s">
        <v>36</v>
      </c>
      <c r="I6" s="21" t="s">
        <v>37</v>
      </c>
      <c r="J6" s="21" t="s">
        <v>38</v>
      </c>
      <c r="K6" s="21" t="s">
        <v>39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6">
        <v>1.0</v>
      </c>
      <c r="B7" s="19" t="s">
        <v>42</v>
      </c>
      <c r="C7" s="19" t="str">
        <f>VLOOKUP(RIGHT('Tổng hợp điểm'!B7,8),'Điểm thực hành các buổi'!$B$3:$F$41,2,1)</f>
        <v>Nguyễn Phước Hiếu</v>
      </c>
      <c r="D7" s="20">
        <f>VLOOKUP(RIGHT('Tổng hợp điểm'!B7,8),'Điểm thực hành các buổi'!$B$3:$F$41,3,1)</f>
        <v>0.45</v>
      </c>
      <c r="E7" s="23">
        <f>VLOOKUP(RIGHT('Tổng hợp điểm'!B7,8),'Điểm thực hành các buổi'!$B$3:$F$41,4,1)</f>
        <v>0.25</v>
      </c>
      <c r="F7" s="23">
        <f>VLOOKUP(RIGHT('Tổng hợp điểm'!B7,8),'Điểm thực hành các buổi'!$B$3:$F$41,5,1)</f>
        <v>0.3</v>
      </c>
      <c r="G7" s="20">
        <f>VLOOKUP(RIGHT('Tổng hợp điểm'!B7,8),'Điểm bài tập lớn'!$B$3:$D$41,3,1)</f>
        <v>0.5</v>
      </c>
      <c r="H7" s="23">
        <f>VLOOKUP(RIGHT('Tổng hợp điểm'!B7,8),'Điểm lý thuyết'!$B$3:$D$41,3,1)</f>
        <v>4.2</v>
      </c>
      <c r="I7" s="23">
        <f t="shared" ref="I7:I45" si="1">ROUND(IF(H7=-3,0,D7+E7+F7+G7+H7*0.6),1)</f>
        <v>4</v>
      </c>
      <c r="J7" s="24">
        <f t="shared" ref="J7:J45" si="2">ROUND(IF(OR(G7=0,VALUE(LEFT(B7,1))&gt;2),0,I7+IF(LEFT(B7,1)="0",1,IF(LEFT(B7,1)="1",0.5,0.25))),1)</f>
        <v>5</v>
      </c>
      <c r="K7" s="25" t="str">
        <f>VLOOKUP(J7,'Các bảng tham chiếu &amp; Thống kê'!$A$3:$B$10,2,1)</f>
        <v>D+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6">
        <v>2.0</v>
      </c>
      <c r="B8" s="19" t="s">
        <v>85</v>
      </c>
      <c r="C8" s="19" t="str">
        <f>VLOOKUP(RIGHT('Tổng hợp điểm'!B8,8),'Điểm thực hành các buổi'!$B$3:$F$41,2,1)</f>
        <v>Lý Minh Trí</v>
      </c>
      <c r="D8" s="20">
        <f>VLOOKUP(RIGHT('Tổng hợp điểm'!B8,8),'Điểm thực hành các buổi'!$B$3:$F$41,3,1)</f>
        <v>0.5</v>
      </c>
      <c r="E8" s="23">
        <f>VLOOKUP(RIGHT('Tổng hợp điểm'!B8,8),'Điểm thực hành các buổi'!$B$3:$F$41,4,1)</f>
        <v>0.35</v>
      </c>
      <c r="F8" s="23">
        <f>VLOOKUP(RIGHT('Tổng hợp điểm'!B8,8),'Điểm thực hành các buổi'!$B$3:$F$41,5,1)</f>
        <v>0.4</v>
      </c>
      <c r="G8" s="20">
        <f>VLOOKUP(RIGHT('Tổng hợp điểm'!B8,8),'Điểm bài tập lớn'!$B$3:$D$41,3,1)</f>
        <v>1</v>
      </c>
      <c r="H8" s="23">
        <f>VLOOKUP(RIGHT('Tổng hợp điểm'!B8,8),'Điểm lý thuyết'!$B$3:$D$41,3,1)</f>
        <v>5.8</v>
      </c>
      <c r="I8" s="23">
        <f t="shared" si="1"/>
        <v>5.7</v>
      </c>
      <c r="J8" s="24">
        <f t="shared" si="2"/>
        <v>6.2</v>
      </c>
      <c r="K8" s="25" t="str">
        <f>VLOOKUP(J8,'Các bảng tham chiếu &amp; Thống kê'!$A$3:$B$10,2,1)</f>
        <v>C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6">
        <v>3.0</v>
      </c>
      <c r="B9" s="19" t="s">
        <v>102</v>
      </c>
      <c r="C9" s="19" t="str">
        <f>VLOOKUP(RIGHT('Tổng hợp điểm'!B9,8),'Điểm thực hành các buổi'!$B$3:$F$41,2,1)</f>
        <v>Nguyễn Kiều Mi</v>
      </c>
      <c r="D9" s="20">
        <f>VLOOKUP(RIGHT('Tổng hợp điểm'!B9,8),'Điểm thực hành các buổi'!$B$3:$F$41,3,1)</f>
        <v>0.25</v>
      </c>
      <c r="E9" s="23">
        <f>VLOOKUP(RIGHT('Tổng hợp điểm'!B9,8),'Điểm thực hành các buổi'!$B$3:$F$41,4,1)</f>
        <v>0.25</v>
      </c>
      <c r="F9" s="23">
        <f>VLOOKUP(RIGHT('Tổng hợp điểm'!B9,8),'Điểm thực hành các buổi'!$B$3:$F$41,5,1)</f>
        <v>0.3</v>
      </c>
      <c r="G9" s="20">
        <f>VLOOKUP(RIGHT('Tổng hợp điểm'!B9,8),'Điểm bài tập lớn'!$B$3:$D$41,3,1)</f>
        <v>0.5</v>
      </c>
      <c r="H9" s="23">
        <f>VLOOKUP(RIGHT('Tổng hợp điểm'!B9,8),'Điểm lý thuyết'!$B$3:$D$41,3,1)</f>
        <v>5.8</v>
      </c>
      <c r="I9" s="23">
        <f t="shared" si="1"/>
        <v>4.8</v>
      </c>
      <c r="J9" s="24">
        <f t="shared" si="2"/>
        <v>5.8</v>
      </c>
      <c r="K9" s="25" t="str">
        <f>VLOOKUP(J9,'Các bảng tham chiếu &amp; Thống kê'!$A$3:$B$10,2,1)</f>
        <v>C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6">
        <v>4.0</v>
      </c>
      <c r="B10" s="19" t="s">
        <v>107</v>
      </c>
      <c r="C10" s="19" t="str">
        <f>VLOOKUP(RIGHT('Tổng hợp điểm'!B10,8),'Điểm thực hành các buổi'!$B$3:$F$41,2,1)</f>
        <v>Đặng Duy Linh</v>
      </c>
      <c r="D10" s="20">
        <f>VLOOKUP(RIGHT('Tổng hợp điểm'!B10,8),'Điểm thực hành các buổi'!$B$3:$F$41,3,1)</f>
        <v>0.4</v>
      </c>
      <c r="E10" s="23">
        <f>VLOOKUP(RIGHT('Tổng hợp điểm'!B10,8),'Điểm thực hành các buổi'!$B$3:$F$41,4,1)</f>
        <v>0.25</v>
      </c>
      <c r="F10" s="23">
        <f>VLOOKUP(RIGHT('Tổng hợp điểm'!B10,8),'Điểm thực hành các buổi'!$B$3:$F$41,5,1)</f>
        <v>0.35</v>
      </c>
      <c r="G10" s="20">
        <f>VLOOKUP(RIGHT('Tổng hợp điểm'!B10,8),'Điểm bài tập lớn'!$B$3:$D$41,3,1)</f>
        <v>1</v>
      </c>
      <c r="H10" s="23">
        <f>VLOOKUP(RIGHT('Tổng hợp điểm'!B10,8),'Điểm lý thuyết'!$B$3:$D$41,3,1)</f>
        <v>4.5</v>
      </c>
      <c r="I10" s="23">
        <f t="shared" si="1"/>
        <v>4.7</v>
      </c>
      <c r="J10" s="24">
        <f t="shared" si="2"/>
        <v>5.7</v>
      </c>
      <c r="K10" s="25" t="str">
        <f>VLOOKUP(J10,'Các bảng tham chiếu &amp; Thống kê'!$A$3:$B$10,2,1)</f>
        <v>C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6">
        <v>5.0</v>
      </c>
      <c r="B11" s="19" t="s">
        <v>108</v>
      </c>
      <c r="C11" s="19" t="str">
        <f>VLOOKUP(RIGHT('Tổng hợp điểm'!B11,8),'Điểm thực hành các buổi'!$B$3:$F$41,2,1)</f>
        <v>Lê Thị Trúc Linh</v>
      </c>
      <c r="D11" s="20">
        <f>VLOOKUP(RIGHT('Tổng hợp điểm'!B11,8),'Điểm thực hành các buổi'!$B$3:$F$41,3,1)</f>
        <v>0.45</v>
      </c>
      <c r="E11" s="23">
        <f>VLOOKUP(RIGHT('Tổng hợp điểm'!B11,8),'Điểm thực hành các buổi'!$B$3:$F$41,4,1)</f>
        <v>0.4</v>
      </c>
      <c r="F11" s="23">
        <f>VLOOKUP(RIGHT('Tổng hợp điểm'!B11,8),'Điểm thực hành các buổi'!$B$3:$F$41,5,1)</f>
        <v>0.35</v>
      </c>
      <c r="G11" s="20">
        <f>VLOOKUP(RIGHT('Tổng hợp điểm'!B11,8),'Điểm bài tập lớn'!$B$3:$D$41,3,1)</f>
        <v>0.75</v>
      </c>
      <c r="H11" s="23">
        <f>VLOOKUP(RIGHT('Tổng hợp điểm'!B11,8),'Điểm lý thuyết'!$B$3:$D$41,3,1)</f>
        <v>5.5</v>
      </c>
      <c r="I11" s="23">
        <f t="shared" si="1"/>
        <v>5.3</v>
      </c>
      <c r="J11" s="24">
        <f t="shared" si="2"/>
        <v>5.6</v>
      </c>
      <c r="K11" s="25" t="str">
        <f>VLOOKUP(J11,'Các bảng tham chiếu &amp; Thống kê'!$A$3:$B$10,2,1)</f>
        <v>C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6">
        <v>6.0</v>
      </c>
      <c r="B12" s="19" t="s">
        <v>109</v>
      </c>
      <c r="C12" s="19" t="str">
        <f>VLOOKUP(RIGHT('Tổng hợp điểm'!B12,8),'Điểm thực hành các buổi'!$B$3:$F$41,2,1)</f>
        <v>Phạm Thị Huỳnh Như</v>
      </c>
      <c r="D12" s="20">
        <f>VLOOKUP(RIGHT('Tổng hợp điểm'!B12,8),'Điểm thực hành các buổi'!$B$3:$F$41,3,1)</f>
        <v>0.4</v>
      </c>
      <c r="E12" s="23">
        <f>VLOOKUP(RIGHT('Tổng hợp điểm'!B12,8),'Điểm thực hành các buổi'!$B$3:$F$41,4,1)</f>
        <v>0.45</v>
      </c>
      <c r="F12" s="23">
        <f>VLOOKUP(RIGHT('Tổng hợp điểm'!B12,8),'Điểm thực hành các buổi'!$B$3:$F$41,5,1)</f>
        <v>0.5</v>
      </c>
      <c r="G12" s="20">
        <f>VLOOKUP(RIGHT('Tổng hợp điểm'!B12,8),'Điểm bài tập lớn'!$B$3:$D$41,3,1)</f>
        <v>1.2</v>
      </c>
      <c r="H12" s="23">
        <f>VLOOKUP(RIGHT('Tổng hợp điểm'!B12,8),'Điểm lý thuyết'!$B$3:$D$41,3,1)</f>
        <v>7.5</v>
      </c>
      <c r="I12" s="23">
        <f t="shared" si="1"/>
        <v>7.1</v>
      </c>
      <c r="J12" s="24">
        <f t="shared" si="2"/>
        <v>8.1</v>
      </c>
      <c r="K12" s="25" t="str">
        <f>VLOOKUP(J12,'Các bảng tham chiếu &amp; Thống kê'!$A$3:$B$10,2,1)</f>
        <v>B+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6">
        <v>7.0</v>
      </c>
      <c r="B13" s="19" t="s">
        <v>110</v>
      </c>
      <c r="C13" s="19" t="str">
        <f>VLOOKUP(RIGHT('Tổng hợp điểm'!B13,8),'Điểm thực hành các buổi'!$B$3:$F$41,2,1)</f>
        <v>Lê Minh Thông</v>
      </c>
      <c r="D13" s="20">
        <f>VLOOKUP(RIGHT('Tổng hợp điểm'!B13,8),'Điểm thực hành các buổi'!$B$3:$F$41,3,1)</f>
        <v>0.4</v>
      </c>
      <c r="E13" s="23">
        <f>VLOOKUP(RIGHT('Tổng hợp điểm'!B13,8),'Điểm thực hành các buổi'!$B$3:$F$41,4,1)</f>
        <v>0.4</v>
      </c>
      <c r="F13" s="23">
        <f>VLOOKUP(RIGHT('Tổng hợp điểm'!B13,8),'Điểm thực hành các buổi'!$B$3:$F$41,5,1)</f>
        <v>0.4</v>
      </c>
      <c r="G13" s="20">
        <f>VLOOKUP(RIGHT('Tổng hợp điểm'!B13,8),'Điểm bài tập lớn'!$B$3:$D$41,3,1)</f>
        <v>1</v>
      </c>
      <c r="H13" s="23">
        <f>VLOOKUP(RIGHT('Tổng hợp điểm'!B13,8),'Điểm lý thuyết'!$B$3:$D$41,3,1)</f>
        <v>5.3</v>
      </c>
      <c r="I13" s="23">
        <f t="shared" si="1"/>
        <v>5.4</v>
      </c>
      <c r="J13" s="24">
        <f t="shared" si="2"/>
        <v>6.4</v>
      </c>
      <c r="K13" s="25" t="str">
        <f>VLOOKUP(J13,'Các bảng tham chiếu &amp; Thống kê'!$A$3:$B$10,2,1)</f>
        <v>C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6">
        <v>8.0</v>
      </c>
      <c r="B14" s="19" t="s">
        <v>111</v>
      </c>
      <c r="C14" s="19" t="str">
        <f>VLOOKUP(RIGHT('Tổng hợp điểm'!B14,8),'Điểm thực hành các buổi'!$B$3:$F$41,2,1)</f>
        <v>Quách Thu Vân</v>
      </c>
      <c r="D14" s="20">
        <f>VLOOKUP(RIGHT('Tổng hợp điểm'!B14,8),'Điểm thực hành các buổi'!$B$3:$F$41,3,1)</f>
        <v>0.45</v>
      </c>
      <c r="E14" s="23">
        <f>VLOOKUP(RIGHT('Tổng hợp điểm'!B14,8),'Điểm thực hành các buổi'!$B$3:$F$41,4,1)</f>
        <v>0.4</v>
      </c>
      <c r="F14" s="23">
        <f>VLOOKUP(RIGHT('Tổng hợp điểm'!B14,8),'Điểm thực hành các buổi'!$B$3:$F$41,5,1)</f>
        <v>0.4</v>
      </c>
      <c r="G14" s="20">
        <f>VLOOKUP(RIGHT('Tổng hợp điểm'!B14,8),'Điểm bài tập lớn'!$B$3:$D$41,3,1)</f>
        <v>1</v>
      </c>
      <c r="H14" s="23">
        <f>VLOOKUP(RIGHT('Tổng hợp điểm'!B14,8),'Điểm lý thuyết'!$B$3:$D$41,3,1)</f>
        <v>7.7</v>
      </c>
      <c r="I14" s="23">
        <f t="shared" si="1"/>
        <v>6.9</v>
      </c>
      <c r="J14" s="24">
        <f t="shared" si="2"/>
        <v>7.9</v>
      </c>
      <c r="K14" s="25" t="str">
        <f>VLOOKUP(J14,'Các bảng tham chiếu &amp; Thống kê'!$A$3:$B$10,2,1)</f>
        <v>B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6">
        <v>9.0</v>
      </c>
      <c r="B15" s="19" t="s">
        <v>112</v>
      </c>
      <c r="C15" s="19" t="str">
        <f>VLOOKUP(RIGHT('Tổng hợp điểm'!B15,8),'Điểm thực hành các buổi'!$B$3:$F$41,2,1)</f>
        <v>Trần Thị Kim Khoa</v>
      </c>
      <c r="D15" s="20">
        <f>VLOOKUP(RIGHT('Tổng hợp điểm'!B15,8),'Điểm thực hành các buổi'!$B$3:$F$41,3,1)</f>
        <v>0.5</v>
      </c>
      <c r="E15" s="23">
        <f>VLOOKUP(RIGHT('Tổng hợp điểm'!B15,8),'Điểm thực hành các buổi'!$B$3:$F$41,4,1)</f>
        <v>0.4</v>
      </c>
      <c r="F15" s="23">
        <f>VLOOKUP(RIGHT('Tổng hợp điểm'!B15,8),'Điểm thực hành các buổi'!$B$3:$F$41,5,1)</f>
        <v>0.4</v>
      </c>
      <c r="G15" s="20">
        <f>VLOOKUP(RIGHT('Tổng hợp điểm'!B15,8),'Điểm bài tập lớn'!$B$3:$D$41,3,1)</f>
        <v>1</v>
      </c>
      <c r="H15" s="23">
        <f>VLOOKUP(RIGHT('Tổng hợp điểm'!B15,8),'Điểm lý thuyết'!$B$3:$D$41,3,1)</f>
        <v>-3</v>
      </c>
      <c r="I15" s="23">
        <f t="shared" si="1"/>
        <v>0</v>
      </c>
      <c r="J15" s="24">
        <f t="shared" si="2"/>
        <v>0</v>
      </c>
      <c r="K15" s="25" t="str">
        <f>VLOOKUP(J15,'Các bảng tham chiếu &amp; Thống kê'!$A$3:$B$10,2,1)</f>
        <v>F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6">
        <v>10.0</v>
      </c>
      <c r="B16" s="19" t="s">
        <v>113</v>
      </c>
      <c r="C16" s="19" t="str">
        <f>VLOOKUP(RIGHT('Tổng hợp điểm'!B16,8),'Điểm thực hành các buổi'!$B$3:$F$41,2,1)</f>
        <v>Huỳnh Thị Hồng Loan</v>
      </c>
      <c r="D16" s="20">
        <f>VLOOKUP(RIGHT('Tổng hợp điểm'!B16,8),'Điểm thực hành các buổi'!$B$3:$F$41,3,1)</f>
        <v>0.45</v>
      </c>
      <c r="E16" s="23">
        <f>VLOOKUP(RIGHT('Tổng hợp điểm'!B16,8),'Điểm thực hành các buổi'!$B$3:$F$41,4,1)</f>
        <v>0.4</v>
      </c>
      <c r="F16" s="23">
        <f>VLOOKUP(RIGHT('Tổng hợp điểm'!B16,8),'Điểm thực hành các buổi'!$B$3:$F$41,5,1)</f>
        <v>0.45</v>
      </c>
      <c r="G16" s="20">
        <f>VLOOKUP(RIGHT('Tổng hợp điểm'!B16,8),'Điểm bài tập lớn'!$B$3:$D$41,3,1)</f>
        <v>0</v>
      </c>
      <c r="H16" s="23">
        <f>VLOOKUP(RIGHT('Tổng hợp điểm'!B16,8),'Điểm lý thuyết'!$B$3:$D$41,3,1)</f>
        <v>6.8</v>
      </c>
      <c r="I16" s="23">
        <f t="shared" si="1"/>
        <v>5.4</v>
      </c>
      <c r="J16" s="24">
        <f t="shared" si="2"/>
        <v>0</v>
      </c>
      <c r="K16" s="25" t="str">
        <f>VLOOKUP(J16,'Các bảng tham chiếu &amp; Thống kê'!$A$3:$B$10,2,1)</f>
        <v>F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6">
        <v>11.0</v>
      </c>
      <c r="B17" s="19" t="s">
        <v>114</v>
      </c>
      <c r="C17" s="19" t="str">
        <f>VLOOKUP(RIGHT('Tổng hợp điểm'!B17,8),'Điểm thực hành các buổi'!$B$3:$F$41,2,1)</f>
        <v>Trần Thị Thanh Nguyên</v>
      </c>
      <c r="D17" s="20">
        <f>VLOOKUP(RIGHT('Tổng hợp điểm'!B17,8),'Điểm thực hành các buổi'!$B$3:$F$41,3,1)</f>
        <v>0.45</v>
      </c>
      <c r="E17" s="23">
        <f>VLOOKUP(RIGHT('Tổng hợp điểm'!B17,8),'Điểm thực hành các buổi'!$B$3:$F$41,4,1)</f>
        <v>0.4</v>
      </c>
      <c r="F17" s="23">
        <f>VLOOKUP(RIGHT('Tổng hợp điểm'!B17,8),'Điểm thực hành các buổi'!$B$3:$F$41,5,1)</f>
        <v>0.4</v>
      </c>
      <c r="G17" s="20">
        <f>VLOOKUP(RIGHT('Tổng hợp điểm'!B17,8),'Điểm bài tập lớn'!$B$3:$D$41,3,1)</f>
        <v>0.75</v>
      </c>
      <c r="H17" s="23">
        <f>VLOOKUP(RIGHT('Tổng hợp điểm'!B17,8),'Điểm lý thuyết'!$B$3:$D$41,3,1)</f>
        <v>6.3</v>
      </c>
      <c r="I17" s="23">
        <f t="shared" si="1"/>
        <v>5.8</v>
      </c>
      <c r="J17" s="24">
        <f t="shared" si="2"/>
        <v>6.8</v>
      </c>
      <c r="K17" s="25" t="str">
        <f>VLOOKUP(J17,'Các bảng tham chiếu &amp; Thống kê'!$A$3:$B$10,2,1)</f>
        <v>C+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6">
        <v>12.0</v>
      </c>
      <c r="B18" s="19" t="s">
        <v>115</v>
      </c>
      <c r="C18" s="19" t="str">
        <f>VLOOKUP(RIGHT('Tổng hợp điểm'!B18,8),'Điểm thực hành các buổi'!$B$3:$F$41,2,1)</f>
        <v>Nguyễn Thị Thúy Nga</v>
      </c>
      <c r="D18" s="20">
        <f>VLOOKUP(RIGHT('Tổng hợp điểm'!B18,8),'Điểm thực hành các buổi'!$B$3:$F$41,3,1)</f>
        <v>0.3</v>
      </c>
      <c r="E18" s="23">
        <f>VLOOKUP(RIGHT('Tổng hợp điểm'!B18,8),'Điểm thực hành các buổi'!$B$3:$F$41,4,1)</f>
        <v>0.5</v>
      </c>
      <c r="F18" s="23">
        <f>VLOOKUP(RIGHT('Tổng hợp điểm'!B18,8),'Điểm thực hành các buổi'!$B$3:$F$41,5,1)</f>
        <v>0.45</v>
      </c>
      <c r="G18" s="20">
        <f>VLOOKUP(RIGHT('Tổng hợp điểm'!B18,8),'Điểm bài tập lớn'!$B$3:$D$41,3,1)</f>
        <v>0.3</v>
      </c>
      <c r="H18" s="23">
        <f>VLOOKUP(RIGHT('Tổng hợp điểm'!B18,8),'Điểm lý thuyết'!$B$3:$D$41,3,1)</f>
        <v>8.3</v>
      </c>
      <c r="I18" s="23">
        <f t="shared" si="1"/>
        <v>6.5</v>
      </c>
      <c r="J18" s="24">
        <f t="shared" si="2"/>
        <v>7</v>
      </c>
      <c r="K18" s="25" t="str">
        <f>VLOOKUP(J18,'Các bảng tham chiếu &amp; Thống kê'!$A$3:$B$10,2,1)</f>
        <v>B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6">
        <v>13.0</v>
      </c>
      <c r="B19" s="19" t="s">
        <v>116</v>
      </c>
      <c r="C19" s="19" t="str">
        <f>VLOOKUP(RIGHT('Tổng hợp điểm'!B19,8),'Điểm thực hành các buổi'!$B$3:$F$41,2,1)</f>
        <v>Vũ Mạnh Thắng</v>
      </c>
      <c r="D19" s="20">
        <f>VLOOKUP(RIGHT('Tổng hợp điểm'!B19,8),'Điểm thực hành các buổi'!$B$3:$F$41,3,1)</f>
        <v>0.4</v>
      </c>
      <c r="E19" s="23">
        <f>VLOOKUP(RIGHT('Tổng hợp điểm'!B19,8),'Điểm thực hành các buổi'!$B$3:$F$41,4,1)</f>
        <v>0.5</v>
      </c>
      <c r="F19" s="23">
        <f>VLOOKUP(RIGHT('Tổng hợp điểm'!B19,8),'Điểm thực hành các buổi'!$B$3:$F$41,5,1)</f>
        <v>0.5</v>
      </c>
      <c r="G19" s="20">
        <f>VLOOKUP(RIGHT('Tổng hợp điểm'!B19,8),'Điểm bài tập lớn'!$B$3:$D$41,3,1)</f>
        <v>1.2</v>
      </c>
      <c r="H19" s="23">
        <f>VLOOKUP(RIGHT('Tổng hợp điểm'!B19,8),'Điểm lý thuyết'!$B$3:$D$41,3,1)</f>
        <v>5.5</v>
      </c>
      <c r="I19" s="23">
        <f t="shared" si="1"/>
        <v>5.9</v>
      </c>
      <c r="J19" s="24">
        <f t="shared" si="2"/>
        <v>6.9</v>
      </c>
      <c r="K19" s="25" t="str">
        <f>VLOOKUP(J19,'Các bảng tham chiếu &amp; Thống kê'!$A$3:$B$10,2,1)</f>
        <v>C+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6">
        <v>14.0</v>
      </c>
      <c r="B20" s="19" t="s">
        <v>117</v>
      </c>
      <c r="C20" s="19" t="str">
        <f>VLOOKUP(RIGHT('Tổng hợp điểm'!B20,8),'Điểm thực hành các buổi'!$B$3:$F$41,2,1)</f>
        <v>Cao Ngọc Quyên</v>
      </c>
      <c r="D20" s="20">
        <f>VLOOKUP(RIGHT('Tổng hợp điểm'!B20,8),'Điểm thực hành các buổi'!$B$3:$F$41,3,1)</f>
        <v>0.5</v>
      </c>
      <c r="E20" s="23">
        <f>VLOOKUP(RIGHT('Tổng hợp điểm'!B20,8),'Điểm thực hành các buổi'!$B$3:$F$41,4,1)</f>
        <v>0.5</v>
      </c>
      <c r="F20" s="23">
        <f>VLOOKUP(RIGHT('Tổng hợp điểm'!B20,8),'Điểm thực hành các buổi'!$B$3:$F$41,5,1)</f>
        <v>0.45</v>
      </c>
      <c r="G20" s="20">
        <f>VLOOKUP(RIGHT('Tổng hợp điểm'!B20,8),'Điểm bài tập lớn'!$B$3:$D$41,3,1)</f>
        <v>0.3</v>
      </c>
      <c r="H20" s="23">
        <f>VLOOKUP(RIGHT('Tổng hợp điểm'!B20,8),'Điểm lý thuyết'!$B$3:$D$41,3,1)</f>
        <v>6</v>
      </c>
      <c r="I20" s="23">
        <f t="shared" si="1"/>
        <v>5.4</v>
      </c>
      <c r="J20" s="24">
        <f t="shared" si="2"/>
        <v>6.4</v>
      </c>
      <c r="K20" s="25" t="str">
        <f>VLOOKUP(J20,'Các bảng tham chiếu &amp; Thống kê'!$A$3:$B$10,2,1)</f>
        <v>C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6">
        <v>15.0</v>
      </c>
      <c r="B21" s="19" t="s">
        <v>118</v>
      </c>
      <c r="C21" s="19" t="str">
        <f>VLOOKUP(RIGHT('Tổng hợp điểm'!B21,8),'Điểm thực hành các buổi'!$B$3:$F$41,2,1)</f>
        <v>Nguyễn Chí Thanh</v>
      </c>
      <c r="D21" s="20">
        <f>VLOOKUP(RIGHT('Tổng hợp điểm'!B21,8),'Điểm thực hành các buổi'!$B$3:$F$41,3,1)</f>
        <v>0.4</v>
      </c>
      <c r="E21" s="23">
        <f>VLOOKUP(RIGHT('Tổng hợp điểm'!B21,8),'Điểm thực hành các buổi'!$B$3:$F$41,4,1)</f>
        <v>0.45</v>
      </c>
      <c r="F21" s="23">
        <f>VLOOKUP(RIGHT('Tổng hợp điểm'!B21,8),'Điểm thực hành các buổi'!$B$3:$F$41,5,1)</f>
        <v>0.4</v>
      </c>
      <c r="G21" s="20">
        <f>VLOOKUP(RIGHT('Tổng hợp điểm'!B21,8),'Điểm bài tập lớn'!$B$3:$D$41,3,1)</f>
        <v>0.3</v>
      </c>
      <c r="H21" s="23">
        <f>VLOOKUP(RIGHT('Tổng hợp điểm'!B21,8),'Điểm lý thuyết'!$B$3:$D$41,3,1)</f>
        <v>-3</v>
      </c>
      <c r="I21" s="23">
        <f t="shared" si="1"/>
        <v>0</v>
      </c>
      <c r="J21" s="24">
        <f t="shared" si="2"/>
        <v>0</v>
      </c>
      <c r="K21" s="25" t="str">
        <f>VLOOKUP(J21,'Các bảng tham chiếu &amp; Thống kê'!$A$3:$B$10,2,1)</f>
        <v>F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6">
        <v>16.0</v>
      </c>
      <c r="B22" s="19" t="s">
        <v>119</v>
      </c>
      <c r="C22" s="19" t="str">
        <f>VLOOKUP(RIGHT('Tổng hợp điểm'!B22,8),'Điểm thực hành các buổi'!$B$3:$F$41,2,1)</f>
        <v>Nguyễn Bích Ngân</v>
      </c>
      <c r="D22" s="20">
        <f>VLOOKUP(RIGHT('Tổng hợp điểm'!B22,8),'Điểm thực hành các buổi'!$B$3:$F$41,3,1)</f>
        <v>0.4</v>
      </c>
      <c r="E22" s="23">
        <f>VLOOKUP(RIGHT('Tổng hợp điểm'!B22,8),'Điểm thực hành các buổi'!$B$3:$F$41,4,1)</f>
        <v>0.45</v>
      </c>
      <c r="F22" s="23">
        <f>VLOOKUP(RIGHT('Tổng hợp điểm'!B22,8),'Điểm thực hành các buổi'!$B$3:$F$41,5,1)</f>
        <v>0.45</v>
      </c>
      <c r="G22" s="20">
        <f>VLOOKUP(RIGHT('Tổng hợp điểm'!B22,8),'Điểm bài tập lớn'!$B$3:$D$41,3,1)</f>
        <v>1</v>
      </c>
      <c r="H22" s="23">
        <f>VLOOKUP(RIGHT('Tổng hợp điểm'!B22,8),'Điểm lý thuyết'!$B$3:$D$41,3,1)</f>
        <v>5.7</v>
      </c>
      <c r="I22" s="23">
        <f t="shared" si="1"/>
        <v>5.7</v>
      </c>
      <c r="J22" s="24">
        <f t="shared" si="2"/>
        <v>6.7</v>
      </c>
      <c r="K22" s="25" t="str">
        <f>VLOOKUP(J22,'Các bảng tham chiếu &amp; Thống kê'!$A$3:$B$10,2,1)</f>
        <v>C+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6">
        <v>17.0</v>
      </c>
      <c r="B23" s="19" t="s">
        <v>120</v>
      </c>
      <c r="C23" s="19" t="str">
        <f>VLOOKUP(RIGHT('Tổng hợp điểm'!B23,8),'Điểm thực hành các buổi'!$B$3:$F$41,2,1)</f>
        <v>Nguyễn Hải Anh</v>
      </c>
      <c r="D23" s="20">
        <f>VLOOKUP(RIGHT('Tổng hợp điểm'!B23,8),'Điểm thực hành các buổi'!$B$3:$F$41,3,1)</f>
        <v>0.5</v>
      </c>
      <c r="E23" s="23">
        <f>VLOOKUP(RIGHT('Tổng hợp điểm'!B23,8),'Điểm thực hành các buổi'!$B$3:$F$41,4,1)</f>
        <v>0.5</v>
      </c>
      <c r="F23" s="23">
        <f>VLOOKUP(RIGHT('Tổng hợp điểm'!B23,8),'Điểm thực hành các buổi'!$B$3:$F$41,5,1)</f>
        <v>0.45</v>
      </c>
      <c r="G23" s="20">
        <f>VLOOKUP(RIGHT('Tổng hợp điểm'!B23,8),'Điểm bài tập lớn'!$B$3:$D$41,3,1)</f>
        <v>1.5</v>
      </c>
      <c r="H23" s="23">
        <f>VLOOKUP(RIGHT('Tổng hợp điểm'!B23,8),'Điểm lý thuyết'!$B$3:$D$41,3,1)</f>
        <v>7</v>
      </c>
      <c r="I23" s="23">
        <f t="shared" si="1"/>
        <v>7.2</v>
      </c>
      <c r="J23" s="24">
        <f t="shared" si="2"/>
        <v>7.5</v>
      </c>
      <c r="K23" s="25" t="str">
        <f>VLOOKUP(J23,'Các bảng tham chiếu &amp; Thống kê'!$A$3:$B$10,2,1)</f>
        <v>B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6">
        <v>18.0</v>
      </c>
      <c r="B24" s="19" t="s">
        <v>121</v>
      </c>
      <c r="C24" s="19" t="str">
        <f>VLOOKUP(RIGHT('Tổng hợp điểm'!B24,8),'Điểm thực hành các buổi'!$B$3:$F$41,2,1)</f>
        <v>Nguyễn Hoàng Châu</v>
      </c>
      <c r="D24" s="20">
        <f>VLOOKUP(RIGHT('Tổng hợp điểm'!B24,8),'Điểm thực hành các buổi'!$B$3:$F$41,3,1)</f>
        <v>0.4</v>
      </c>
      <c r="E24" s="23">
        <f>VLOOKUP(RIGHT('Tổng hợp điểm'!B24,8),'Điểm thực hành các buổi'!$B$3:$F$41,4,1)</f>
        <v>0.4</v>
      </c>
      <c r="F24" s="23">
        <f>VLOOKUP(RIGHT('Tổng hợp điểm'!B24,8),'Điểm thực hành các buổi'!$B$3:$F$41,5,1)</f>
        <v>0.4</v>
      </c>
      <c r="G24" s="20">
        <f>VLOOKUP(RIGHT('Tổng hợp điểm'!B24,8),'Điểm bài tập lớn'!$B$3:$D$41,3,1)</f>
        <v>0.3</v>
      </c>
      <c r="H24" s="23">
        <f>VLOOKUP(RIGHT('Tổng hợp điểm'!B24,8),'Điểm lý thuyết'!$B$3:$D$41,3,1)</f>
        <v>6.5</v>
      </c>
      <c r="I24" s="23">
        <f t="shared" si="1"/>
        <v>5.4</v>
      </c>
      <c r="J24" s="24">
        <f t="shared" si="2"/>
        <v>6.4</v>
      </c>
      <c r="K24" s="25" t="str">
        <f>VLOOKUP(J24,'Các bảng tham chiếu &amp; Thống kê'!$A$3:$B$10,2,1)</f>
        <v>C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6">
        <v>19.0</v>
      </c>
      <c r="B25" s="19" t="s">
        <v>122</v>
      </c>
      <c r="C25" s="19" t="str">
        <f>VLOOKUP(RIGHT('Tổng hợp điểm'!B25,8),'Điểm thực hành các buổi'!$B$3:$F$41,2,1)</f>
        <v>Trần Nam Dương</v>
      </c>
      <c r="D25" s="20">
        <f>VLOOKUP(RIGHT('Tổng hợp điểm'!B25,8),'Điểm thực hành các buổi'!$B$3:$F$41,3,1)</f>
        <v>0.4</v>
      </c>
      <c r="E25" s="23">
        <f>VLOOKUP(RIGHT('Tổng hợp điểm'!B25,8),'Điểm thực hành các buổi'!$B$3:$F$41,4,1)</f>
        <v>0.4</v>
      </c>
      <c r="F25" s="23">
        <f>VLOOKUP(RIGHT('Tổng hợp điểm'!B25,8),'Điểm thực hành các buổi'!$B$3:$F$41,5,1)</f>
        <v>0.35</v>
      </c>
      <c r="G25" s="20">
        <f>VLOOKUP(RIGHT('Tổng hợp điểm'!B25,8),'Điểm bài tập lớn'!$B$3:$D$41,3,1)</f>
        <v>1.35</v>
      </c>
      <c r="H25" s="23">
        <f>VLOOKUP(RIGHT('Tổng hợp điểm'!B25,8),'Điểm lý thuyết'!$B$3:$D$41,3,1)</f>
        <v>-3</v>
      </c>
      <c r="I25" s="23">
        <f t="shared" si="1"/>
        <v>0</v>
      </c>
      <c r="J25" s="24">
        <f t="shared" si="2"/>
        <v>0</v>
      </c>
      <c r="K25" s="25" t="str">
        <f>VLOOKUP(J25,'Các bảng tham chiếu &amp; Thống kê'!$A$3:$B$10,2,1)</f>
        <v>F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6">
        <v>20.0</v>
      </c>
      <c r="B26" s="19" t="s">
        <v>123</v>
      </c>
      <c r="C26" s="19" t="str">
        <f>VLOOKUP(RIGHT('Tổng hợp điểm'!B26,8),'Điểm thực hành các buổi'!$B$3:$F$41,2,1)</f>
        <v>Đào Nguyễn Duy Khanh</v>
      </c>
      <c r="D26" s="20">
        <f>VLOOKUP(RIGHT('Tổng hợp điểm'!B26,8),'Điểm thực hành các buổi'!$B$3:$F$41,3,1)</f>
        <v>0.35</v>
      </c>
      <c r="E26" s="23">
        <f>VLOOKUP(RIGHT('Tổng hợp điểm'!B26,8),'Điểm thực hành các buổi'!$B$3:$F$41,4,1)</f>
        <v>0.4</v>
      </c>
      <c r="F26" s="23">
        <f>VLOOKUP(RIGHT('Tổng hợp điểm'!B26,8),'Điểm thực hành các buổi'!$B$3:$F$41,5,1)</f>
        <v>0</v>
      </c>
      <c r="G26" s="20">
        <f>VLOOKUP(RIGHT('Tổng hợp điểm'!B26,8),'Điểm bài tập lớn'!$B$3:$D$41,3,1)</f>
        <v>0.85</v>
      </c>
      <c r="H26" s="23">
        <f>VLOOKUP(RIGHT('Tổng hợp điểm'!B26,8),'Điểm lý thuyết'!$B$3:$D$41,3,1)</f>
        <v>6.5</v>
      </c>
      <c r="I26" s="23">
        <f t="shared" si="1"/>
        <v>5.5</v>
      </c>
      <c r="J26" s="24">
        <f t="shared" si="2"/>
        <v>6.5</v>
      </c>
      <c r="K26" s="25" t="str">
        <f>VLOOKUP(J26,'Các bảng tham chiếu &amp; Thống kê'!$A$3:$B$10,2,1)</f>
        <v>C+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6">
        <v>21.0</v>
      </c>
      <c r="B27" s="19" t="s">
        <v>124</v>
      </c>
      <c r="C27" s="19" t="str">
        <f>VLOOKUP(RIGHT('Tổng hợp điểm'!B27,8),'Điểm thực hành các buổi'!$B$3:$F$41,2,1)</f>
        <v>Ngô Hùng Vĩ</v>
      </c>
      <c r="D27" s="20">
        <f>VLOOKUP(RIGHT('Tổng hợp điểm'!B27,8),'Điểm thực hành các buổi'!$B$3:$F$41,3,1)</f>
        <v>0.5</v>
      </c>
      <c r="E27" s="23">
        <f>VLOOKUP(RIGHT('Tổng hợp điểm'!B27,8),'Điểm thực hành các buổi'!$B$3:$F$41,4,1)</f>
        <v>0.4</v>
      </c>
      <c r="F27" s="23">
        <f>VLOOKUP(RIGHT('Tổng hợp điểm'!B27,8),'Điểm thực hành các buổi'!$B$3:$F$41,5,1)</f>
        <v>0.45</v>
      </c>
      <c r="G27" s="20">
        <f>VLOOKUP(RIGHT('Tổng hợp điểm'!B27,8),'Điểm bài tập lớn'!$B$3:$D$41,3,1)</f>
        <v>1.35</v>
      </c>
      <c r="H27" s="23">
        <f>VLOOKUP(RIGHT('Tổng hợp điểm'!B27,8),'Điểm lý thuyết'!$B$3:$D$41,3,1)</f>
        <v>6.7</v>
      </c>
      <c r="I27" s="23">
        <f t="shared" si="1"/>
        <v>6.7</v>
      </c>
      <c r="J27" s="24">
        <f t="shared" si="2"/>
        <v>7.7</v>
      </c>
      <c r="K27" s="25" t="str">
        <f>VLOOKUP(J27,'Các bảng tham chiếu &amp; Thống kê'!$A$3:$B$10,2,1)</f>
        <v>B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6">
        <v>22.0</v>
      </c>
      <c r="B28" s="19" t="s">
        <v>125</v>
      </c>
      <c r="C28" s="19" t="str">
        <f>VLOOKUP(RIGHT('Tổng hợp điểm'!B28,8),'Điểm thực hành các buổi'!$B$3:$F$41,2,1)</f>
        <v>Lê Thanh Tùng</v>
      </c>
      <c r="D28" s="20">
        <f>VLOOKUP(RIGHT('Tổng hợp điểm'!B28,8),'Điểm thực hành các buổi'!$B$3:$F$41,3,1)</f>
        <v>0.4</v>
      </c>
      <c r="E28" s="23">
        <f>VLOOKUP(RIGHT('Tổng hợp điểm'!B28,8),'Điểm thực hành các buổi'!$B$3:$F$41,4,1)</f>
        <v>0.4</v>
      </c>
      <c r="F28" s="23">
        <f>VLOOKUP(RIGHT('Tổng hợp điểm'!B28,8),'Điểm thực hành các buổi'!$B$3:$F$41,5,1)</f>
        <v>0.4</v>
      </c>
      <c r="G28" s="20">
        <f>VLOOKUP(RIGHT('Tổng hợp điểm'!B28,8),'Điểm bài tập lớn'!$B$3:$D$41,3,1)</f>
        <v>0</v>
      </c>
      <c r="H28" s="23">
        <f>VLOOKUP(RIGHT('Tổng hợp điểm'!B28,8),'Điểm lý thuyết'!$B$3:$D$41,3,1)</f>
        <v>4.5</v>
      </c>
      <c r="I28" s="23">
        <f t="shared" si="1"/>
        <v>3.9</v>
      </c>
      <c r="J28" s="24">
        <f t="shared" si="2"/>
        <v>0</v>
      </c>
      <c r="K28" s="25" t="str">
        <f>VLOOKUP(J28,'Các bảng tham chiếu &amp; Thống kê'!$A$3:$B$10,2,1)</f>
        <v>F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6">
        <v>23.0</v>
      </c>
      <c r="B29" s="19" t="s">
        <v>126</v>
      </c>
      <c r="C29" s="19" t="str">
        <f>VLOOKUP(RIGHT('Tổng hợp điểm'!B29,8),'Điểm thực hành các buổi'!$B$3:$F$41,2,1)</f>
        <v>Lê Hồng Quốc Vương</v>
      </c>
      <c r="D29" s="20">
        <f>VLOOKUP(RIGHT('Tổng hợp điểm'!B29,8),'Điểm thực hành các buổi'!$B$3:$F$41,3,1)</f>
        <v>0.5</v>
      </c>
      <c r="E29" s="23">
        <f>VLOOKUP(RIGHT('Tổng hợp điểm'!B29,8),'Điểm thực hành các buổi'!$B$3:$F$41,4,1)</f>
        <v>0.5</v>
      </c>
      <c r="F29" s="23">
        <f>VLOOKUP(RIGHT('Tổng hợp điểm'!B29,8),'Điểm thực hành các buổi'!$B$3:$F$41,5,1)</f>
        <v>0.5</v>
      </c>
      <c r="G29" s="20">
        <f>VLOOKUP(RIGHT('Tổng hợp điểm'!B29,8),'Điểm bài tập lớn'!$B$3:$D$41,3,1)</f>
        <v>1.5</v>
      </c>
      <c r="H29" s="23">
        <f>VLOOKUP(RIGHT('Tổng hợp điểm'!B29,8),'Điểm lý thuyết'!$B$3:$D$41,3,1)</f>
        <v>7.5</v>
      </c>
      <c r="I29" s="23">
        <f t="shared" si="1"/>
        <v>7.5</v>
      </c>
      <c r="J29" s="24">
        <f t="shared" si="2"/>
        <v>8.5</v>
      </c>
      <c r="K29" s="25" t="str">
        <f>VLOOKUP(J29,'Các bảng tham chiếu &amp; Thống kê'!$A$3:$B$10,2,1)</f>
        <v>B+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6">
        <v>24.0</v>
      </c>
      <c r="B30" s="19" t="s">
        <v>127</v>
      </c>
      <c r="C30" s="19" t="str">
        <f>VLOOKUP(RIGHT('Tổng hợp điểm'!B30,8),'Điểm thực hành các buổi'!$B$3:$F$41,2,1)</f>
        <v>Huỳnh Hoàng Ẩn</v>
      </c>
      <c r="D30" s="20">
        <f>VLOOKUP(RIGHT('Tổng hợp điểm'!B30,8),'Điểm thực hành các buổi'!$B$3:$F$41,3,1)</f>
        <v>0.45</v>
      </c>
      <c r="E30" s="23">
        <f>VLOOKUP(RIGHT('Tổng hợp điểm'!B30,8),'Điểm thực hành các buổi'!$B$3:$F$41,4,1)</f>
        <v>0.3</v>
      </c>
      <c r="F30" s="23">
        <f>VLOOKUP(RIGHT('Tổng hợp điểm'!B30,8),'Điểm thực hành các buổi'!$B$3:$F$41,5,1)</f>
        <v>0.45</v>
      </c>
      <c r="G30" s="20">
        <f>VLOOKUP(RIGHT('Tổng hợp điểm'!B30,8),'Điểm bài tập lớn'!$B$3:$D$41,3,1)</f>
        <v>1.2</v>
      </c>
      <c r="H30" s="23">
        <f>VLOOKUP(RIGHT('Tổng hợp điểm'!B30,8),'Điểm lý thuyết'!$B$3:$D$41,3,1)</f>
        <v>8.8</v>
      </c>
      <c r="I30" s="23">
        <f t="shared" si="1"/>
        <v>7.7</v>
      </c>
      <c r="J30" s="24">
        <f t="shared" si="2"/>
        <v>8</v>
      </c>
      <c r="K30" s="25" t="str">
        <f>VLOOKUP(J30,'Các bảng tham chiếu &amp; Thống kê'!$A$3:$B$10,2,1)</f>
        <v>B+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6">
        <v>25.0</v>
      </c>
      <c r="B31" s="19" t="s">
        <v>128</v>
      </c>
      <c r="C31" s="19" t="str">
        <f>VLOOKUP(RIGHT('Tổng hợp điểm'!B31,8),'Điểm thực hành các buổi'!$B$3:$F$41,2,1)</f>
        <v>Hồ Thị Mỷ Huyền</v>
      </c>
      <c r="D31" s="20">
        <f>VLOOKUP(RIGHT('Tổng hợp điểm'!B31,8),'Điểm thực hành các buổi'!$B$3:$F$41,3,1)</f>
        <v>0.3</v>
      </c>
      <c r="E31" s="23">
        <f>VLOOKUP(RIGHT('Tổng hợp điểm'!B31,8),'Điểm thực hành các buổi'!$B$3:$F$41,4,1)</f>
        <v>0.3</v>
      </c>
      <c r="F31" s="23">
        <f>VLOOKUP(RIGHT('Tổng hợp điểm'!B31,8),'Điểm thực hành các buổi'!$B$3:$F$41,5,1)</f>
        <v>0.4</v>
      </c>
      <c r="G31" s="20">
        <f>VLOOKUP(RIGHT('Tổng hợp điểm'!B31,8),'Điểm bài tập lớn'!$B$3:$D$41,3,1)</f>
        <v>0.75</v>
      </c>
      <c r="H31" s="23">
        <f>VLOOKUP(RIGHT('Tổng hợp điểm'!B31,8),'Điểm lý thuyết'!$B$3:$D$41,3,1)</f>
        <v>6.8</v>
      </c>
      <c r="I31" s="23">
        <f t="shared" si="1"/>
        <v>5.8</v>
      </c>
      <c r="J31" s="24">
        <f t="shared" si="2"/>
        <v>6.3</v>
      </c>
      <c r="K31" s="25" t="str">
        <f>VLOOKUP(J31,'Các bảng tham chiếu &amp; Thống kê'!$A$3:$B$10,2,1)</f>
        <v>C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6">
        <v>26.0</v>
      </c>
      <c r="B32" s="19" t="s">
        <v>129</v>
      </c>
      <c r="C32" s="19" t="str">
        <f>VLOOKUP(RIGHT('Tổng hợp điểm'!B32,8),'Điểm thực hành các buổi'!$B$3:$F$41,2,1)</f>
        <v>Đặng Trung Kiên</v>
      </c>
      <c r="D32" s="20">
        <f>VLOOKUP(RIGHT('Tổng hợp điểm'!B32,8),'Điểm thực hành các buổi'!$B$3:$F$41,3,1)</f>
        <v>0.5</v>
      </c>
      <c r="E32" s="23">
        <f>VLOOKUP(RIGHT('Tổng hợp điểm'!B32,8),'Điểm thực hành các buổi'!$B$3:$F$41,4,1)</f>
        <v>0.3</v>
      </c>
      <c r="F32" s="23">
        <f>VLOOKUP(RIGHT('Tổng hợp điểm'!B32,8),'Điểm thực hành các buổi'!$B$3:$F$41,5,1)</f>
        <v>0.45</v>
      </c>
      <c r="G32" s="20">
        <f>VLOOKUP(RIGHT('Tổng hợp điểm'!B32,8),'Điểm bài tập lớn'!$B$3:$D$41,3,1)</f>
        <v>1</v>
      </c>
      <c r="H32" s="23">
        <f>VLOOKUP(RIGHT('Tổng hợp điểm'!B32,8),'Điểm lý thuyết'!$B$3:$D$41,3,1)</f>
        <v>7.8</v>
      </c>
      <c r="I32" s="23">
        <f t="shared" si="1"/>
        <v>6.9</v>
      </c>
      <c r="J32" s="24">
        <f t="shared" si="2"/>
        <v>7.9</v>
      </c>
      <c r="K32" s="25" t="str">
        <f>VLOOKUP(J32,'Các bảng tham chiếu &amp; Thống kê'!$A$3:$B$10,2,1)</f>
        <v>B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6">
        <v>27.0</v>
      </c>
      <c r="B33" s="19" t="s">
        <v>130</v>
      </c>
      <c r="C33" s="19" t="str">
        <f>VLOOKUP(RIGHT('Tổng hợp điểm'!B33,8),'Điểm thực hành các buổi'!$B$3:$F$41,2,1)</f>
        <v>Ngụy Hữu Lộc</v>
      </c>
      <c r="D33" s="20">
        <f>VLOOKUP(RIGHT('Tổng hợp điểm'!B33,8),'Điểm thực hành các buổi'!$B$3:$F$41,3,1)</f>
        <v>0.5</v>
      </c>
      <c r="E33" s="23">
        <f>VLOOKUP(RIGHT('Tổng hợp điểm'!B33,8),'Điểm thực hành các buổi'!$B$3:$F$41,4,1)</f>
        <v>0.4</v>
      </c>
      <c r="F33" s="23">
        <f>VLOOKUP(RIGHT('Tổng hợp điểm'!B33,8),'Điểm thực hành các buổi'!$B$3:$F$41,5,1)</f>
        <v>0.45</v>
      </c>
      <c r="G33" s="20">
        <f>VLOOKUP(RIGHT('Tổng hợp điểm'!B33,8),'Điểm bài tập lớn'!$B$3:$D$41,3,1)</f>
        <v>1.5</v>
      </c>
      <c r="H33" s="23">
        <f>VLOOKUP(RIGHT('Tổng hợp điểm'!B33,8),'Điểm lý thuyết'!$B$3:$D$41,3,1)</f>
        <v>8.8</v>
      </c>
      <c r="I33" s="23">
        <f t="shared" si="1"/>
        <v>8.1</v>
      </c>
      <c r="J33" s="24">
        <f t="shared" si="2"/>
        <v>9.1</v>
      </c>
      <c r="K33" s="25" t="str">
        <f>VLOOKUP(J33,'Các bảng tham chiếu &amp; Thống kê'!$A$3:$B$10,2,1)</f>
        <v>A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6">
        <v>28.0</v>
      </c>
      <c r="B34" s="19" t="s">
        <v>131</v>
      </c>
      <c r="C34" s="19" t="str">
        <f>VLOOKUP(RIGHT('Tổng hợp điểm'!B34,8),'Điểm thực hành các buổi'!$B$3:$F$41,2,1)</f>
        <v>Nguyễn Trà Mi</v>
      </c>
      <c r="D34" s="20">
        <f>VLOOKUP(RIGHT('Tổng hợp điểm'!B34,8),'Điểm thực hành các buổi'!$B$3:$F$41,3,1)</f>
        <v>0.5</v>
      </c>
      <c r="E34" s="23">
        <f>VLOOKUP(RIGHT('Tổng hợp điểm'!B34,8),'Điểm thực hành các buổi'!$B$3:$F$41,4,1)</f>
        <v>0.45</v>
      </c>
      <c r="F34" s="23">
        <f>VLOOKUP(RIGHT('Tổng hợp điểm'!B34,8),'Điểm thực hành các buổi'!$B$3:$F$41,5,1)</f>
        <v>0.45</v>
      </c>
      <c r="G34" s="20">
        <f>VLOOKUP(RIGHT('Tổng hợp điểm'!B34,8),'Điểm bài tập lớn'!$B$3:$D$41,3,1)</f>
        <v>1</v>
      </c>
      <c r="H34" s="23">
        <f>VLOOKUP(RIGHT('Tổng hợp điểm'!B34,8),'Điểm lý thuyết'!$B$3:$D$41,3,1)</f>
        <v>7.8</v>
      </c>
      <c r="I34" s="23">
        <f t="shared" si="1"/>
        <v>7.1</v>
      </c>
      <c r="J34" s="24">
        <f t="shared" si="2"/>
        <v>8.1</v>
      </c>
      <c r="K34" s="25" t="str">
        <f>VLOOKUP(J34,'Các bảng tham chiếu &amp; Thống kê'!$A$3:$B$10,2,1)</f>
        <v>B+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6">
        <v>29.0</v>
      </c>
      <c r="B35" s="19" t="s">
        <v>132</v>
      </c>
      <c r="C35" s="19" t="str">
        <f>VLOOKUP(RIGHT('Tổng hợp điểm'!B35,8),'Điểm thực hành các buổi'!$B$3:$F$41,2,1)</f>
        <v>Lại Ngọc Hoàng Phi</v>
      </c>
      <c r="D35" s="20">
        <f>VLOOKUP(RIGHT('Tổng hợp điểm'!B35,8),'Điểm thực hành các buổi'!$B$3:$F$41,3,1)</f>
        <v>0.5</v>
      </c>
      <c r="E35" s="23">
        <f>VLOOKUP(RIGHT('Tổng hợp điểm'!B35,8),'Điểm thực hành các buổi'!$B$3:$F$41,4,1)</f>
        <v>0.5</v>
      </c>
      <c r="F35" s="23">
        <f>VLOOKUP(RIGHT('Tổng hợp điểm'!B35,8),'Điểm thực hành các buổi'!$B$3:$F$41,5,1)</f>
        <v>0.5</v>
      </c>
      <c r="G35" s="20">
        <f>VLOOKUP(RIGHT('Tổng hợp điểm'!B35,8),'Điểm bài tập lớn'!$B$3:$D$41,3,1)</f>
        <v>0</v>
      </c>
      <c r="H35" s="23">
        <f>VLOOKUP(RIGHT('Tổng hợp điểm'!B35,8),'Điểm lý thuyết'!$B$3:$D$41,3,1)</f>
        <v>7.7</v>
      </c>
      <c r="I35" s="23">
        <f t="shared" si="1"/>
        <v>6.1</v>
      </c>
      <c r="J35" s="24">
        <f t="shared" si="2"/>
        <v>0</v>
      </c>
      <c r="K35" s="25" t="str">
        <f>VLOOKUP(J35,'Các bảng tham chiếu &amp; Thống kê'!$A$3:$B$10,2,1)</f>
        <v>F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6">
        <v>30.0</v>
      </c>
      <c r="B36" s="19" t="s">
        <v>133</v>
      </c>
      <c r="C36" s="19" t="str">
        <f>VLOOKUP(RIGHT('Tổng hợp điểm'!B36,8),'Điểm thực hành các buổi'!$B$3:$F$41,2,1)</f>
        <v>Nguyễn Khắc Minh Phúc</v>
      </c>
      <c r="D36" s="20">
        <f>VLOOKUP(RIGHT('Tổng hợp điểm'!B36,8),'Điểm thực hành các buổi'!$B$3:$F$41,3,1)</f>
        <v>0.5</v>
      </c>
      <c r="E36" s="23">
        <f>VLOOKUP(RIGHT('Tổng hợp điểm'!B36,8),'Điểm thực hành các buổi'!$B$3:$F$41,4,1)</f>
        <v>0.4</v>
      </c>
      <c r="F36" s="23">
        <f>VLOOKUP(RIGHT('Tổng hợp điểm'!B36,8),'Điểm thực hành các buổi'!$B$3:$F$41,5,1)</f>
        <v>0.45</v>
      </c>
      <c r="G36" s="20">
        <f>VLOOKUP(RIGHT('Tổng hợp điểm'!B36,8),'Điểm bài tập lớn'!$B$3:$D$41,3,1)</f>
        <v>1</v>
      </c>
      <c r="H36" s="23">
        <f>VLOOKUP(RIGHT('Tổng hợp điểm'!B36,8),'Điểm lý thuyết'!$B$3:$D$41,3,1)</f>
        <v>-3</v>
      </c>
      <c r="I36" s="23">
        <f t="shared" si="1"/>
        <v>0</v>
      </c>
      <c r="J36" s="24">
        <f t="shared" si="2"/>
        <v>0</v>
      </c>
      <c r="K36" s="25" t="str">
        <f>VLOOKUP(J36,'Các bảng tham chiếu &amp; Thống kê'!$A$3:$B$10,2,1)</f>
        <v>F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6">
        <v>31.0</v>
      </c>
      <c r="B37" s="19" t="s">
        <v>134</v>
      </c>
      <c r="C37" s="19" t="str">
        <f>VLOOKUP(RIGHT('Tổng hợp điểm'!B37,8),'Điểm thực hành các buổi'!$B$3:$F$41,2,1)</f>
        <v>Trần Thị Hoàng Quyên</v>
      </c>
      <c r="D37" s="20">
        <f>VLOOKUP(RIGHT('Tổng hợp điểm'!B37,8),'Điểm thực hành các buổi'!$B$3:$F$41,3,1)</f>
        <v>0.4</v>
      </c>
      <c r="E37" s="23">
        <f>VLOOKUP(RIGHT('Tổng hợp điểm'!B37,8),'Điểm thực hành các buổi'!$B$3:$F$41,4,1)</f>
        <v>0.5</v>
      </c>
      <c r="F37" s="23">
        <f>VLOOKUP(RIGHT('Tổng hợp điểm'!B37,8),'Điểm thực hành các buổi'!$B$3:$F$41,5,1)</f>
        <v>0.5</v>
      </c>
      <c r="G37" s="20">
        <f>VLOOKUP(RIGHT('Tổng hợp điểm'!B37,8),'Điểm bài tập lớn'!$B$3:$D$41,3,1)</f>
        <v>1</v>
      </c>
      <c r="H37" s="23">
        <f>VLOOKUP(RIGHT('Tổng hợp điểm'!B37,8),'Điểm lý thuyết'!$B$3:$D$41,3,1)</f>
        <v>9.2</v>
      </c>
      <c r="I37" s="23">
        <f t="shared" si="1"/>
        <v>7.9</v>
      </c>
      <c r="J37" s="24">
        <f t="shared" si="2"/>
        <v>8.9</v>
      </c>
      <c r="K37" s="25" t="str">
        <f>VLOOKUP(J37,'Các bảng tham chiếu &amp; Thống kê'!$A$3:$B$10,2,1)</f>
        <v>B+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6">
        <v>32.0</v>
      </c>
      <c r="B38" s="19" t="s">
        <v>135</v>
      </c>
      <c r="C38" s="19" t="str">
        <f>VLOOKUP(RIGHT('Tổng hợp điểm'!B38,8),'Điểm thực hành các buổi'!$B$3:$F$41,2,1)</f>
        <v>Trương Quốc Thái</v>
      </c>
      <c r="D38" s="20">
        <f>VLOOKUP(RIGHT('Tổng hợp điểm'!B38,8),'Điểm thực hành các buổi'!$B$3:$F$41,3,1)</f>
        <v>0.4</v>
      </c>
      <c r="E38" s="23">
        <f>VLOOKUP(RIGHT('Tổng hợp điểm'!B38,8),'Điểm thực hành các buổi'!$B$3:$F$41,4,1)</f>
        <v>0.4</v>
      </c>
      <c r="F38" s="23">
        <f>VLOOKUP(RIGHT('Tổng hợp điểm'!B38,8),'Điểm thực hành các buổi'!$B$3:$F$41,5,1)</f>
        <v>0.45</v>
      </c>
      <c r="G38" s="20">
        <f>VLOOKUP(RIGHT('Tổng hợp điểm'!B38,8),'Điểm bài tập lớn'!$B$3:$D$41,3,1)</f>
        <v>1</v>
      </c>
      <c r="H38" s="23">
        <f>VLOOKUP(RIGHT('Tổng hợp điểm'!B38,8),'Điểm lý thuyết'!$B$3:$D$41,3,1)</f>
        <v>7.5</v>
      </c>
      <c r="I38" s="23">
        <f t="shared" si="1"/>
        <v>6.8</v>
      </c>
      <c r="J38" s="24">
        <f t="shared" si="2"/>
        <v>7.8</v>
      </c>
      <c r="K38" s="25" t="str">
        <f>VLOOKUP(J38,'Các bảng tham chiếu &amp; Thống kê'!$A$3:$B$10,2,1)</f>
        <v>B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6">
        <v>33.0</v>
      </c>
      <c r="B39" s="19" t="s">
        <v>136</v>
      </c>
      <c r="C39" s="19" t="str">
        <f>VLOOKUP(RIGHT('Tổng hợp điểm'!B39,8),'Điểm thực hành các buổi'!$B$3:$F$41,2,1)</f>
        <v>Nguyễn Thị Phương Thảo</v>
      </c>
      <c r="D39" s="20">
        <f>VLOOKUP(RIGHT('Tổng hợp điểm'!B39,8),'Điểm thực hành các buổi'!$B$3:$F$41,3,1)</f>
        <v>0.4</v>
      </c>
      <c r="E39" s="23">
        <f>VLOOKUP(RIGHT('Tổng hợp điểm'!B39,8),'Điểm thực hành các buổi'!$B$3:$F$41,4,1)</f>
        <v>0.45</v>
      </c>
      <c r="F39" s="23">
        <f>VLOOKUP(RIGHT('Tổng hợp điểm'!B39,8),'Điểm thực hành các buổi'!$B$3:$F$41,5,1)</f>
        <v>0.45</v>
      </c>
      <c r="G39" s="20">
        <f>VLOOKUP(RIGHT('Tổng hợp điểm'!B39,8),'Điểm bài tập lớn'!$B$3:$D$41,3,1)</f>
        <v>1</v>
      </c>
      <c r="H39" s="23">
        <f>VLOOKUP(RIGHT('Tổng hợp điểm'!B39,8),'Điểm lý thuyết'!$B$3:$D$41,3,1)</f>
        <v>-3</v>
      </c>
      <c r="I39" s="23">
        <f t="shared" si="1"/>
        <v>0</v>
      </c>
      <c r="J39" s="24">
        <f t="shared" si="2"/>
        <v>0</v>
      </c>
      <c r="K39" s="25" t="str">
        <f>VLOOKUP(J39,'Các bảng tham chiếu &amp; Thống kê'!$A$3:$B$10,2,1)</f>
        <v>F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6">
        <v>34.0</v>
      </c>
      <c r="B40" s="19" t="s">
        <v>137</v>
      </c>
      <c r="C40" s="19" t="str">
        <f>VLOOKUP(RIGHT('Tổng hợp điểm'!B40,8),'Điểm thực hành các buổi'!$B$3:$F$41,2,1)</f>
        <v>Nguyễn Chí Tôn</v>
      </c>
      <c r="D40" s="20">
        <f>VLOOKUP(RIGHT('Tổng hợp điểm'!B40,8),'Điểm thực hành các buổi'!$B$3:$F$41,3,1)</f>
        <v>0.4</v>
      </c>
      <c r="E40" s="23">
        <f>VLOOKUP(RIGHT('Tổng hợp điểm'!B40,8),'Điểm thực hành các buổi'!$B$3:$F$41,4,1)</f>
        <v>0</v>
      </c>
      <c r="F40" s="23">
        <f>VLOOKUP(RIGHT('Tổng hợp điểm'!B40,8),'Điểm thực hành các buổi'!$B$3:$F$41,5,1)</f>
        <v>0.45</v>
      </c>
      <c r="G40" s="20">
        <f>VLOOKUP(RIGHT('Tổng hợp điểm'!B40,8),'Điểm bài tập lớn'!$B$3:$D$41,3,1)</f>
        <v>0.75</v>
      </c>
      <c r="H40" s="23">
        <f>VLOOKUP(RIGHT('Tổng hợp điểm'!B40,8),'Điểm lý thuyết'!$B$3:$D$41,3,1)</f>
        <v>8.3</v>
      </c>
      <c r="I40" s="23">
        <f t="shared" si="1"/>
        <v>6.6</v>
      </c>
      <c r="J40" s="24">
        <f t="shared" si="2"/>
        <v>7.1</v>
      </c>
      <c r="K40" s="25" t="str">
        <f>VLOOKUP(J40,'Các bảng tham chiếu &amp; Thống kê'!$A$3:$B$10,2,1)</f>
        <v>B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6">
        <v>35.0</v>
      </c>
      <c r="B41" s="19" t="s">
        <v>138</v>
      </c>
      <c r="C41" s="19" t="str">
        <f>VLOOKUP(RIGHT('Tổng hợp điểm'!B41,8),'Điểm thực hành các buổi'!$B$3:$F$41,2,1)</f>
        <v>Trịnh Uyên</v>
      </c>
      <c r="D41" s="20">
        <f>VLOOKUP(RIGHT('Tổng hợp điểm'!B41,8),'Điểm thực hành các buổi'!$B$3:$F$41,3,1)</f>
        <v>0.5</v>
      </c>
      <c r="E41" s="23">
        <f>VLOOKUP(RIGHT('Tổng hợp điểm'!B41,8),'Điểm thực hành các buổi'!$B$3:$F$41,4,1)</f>
        <v>0</v>
      </c>
      <c r="F41" s="23">
        <f>VLOOKUP(RIGHT('Tổng hợp điểm'!B41,8),'Điểm thực hành các buổi'!$B$3:$F$41,5,1)</f>
        <v>0</v>
      </c>
      <c r="G41" s="20">
        <f>VLOOKUP(RIGHT('Tổng hợp điểm'!B41,8),'Điểm bài tập lớn'!$B$3:$D$41,3,1)</f>
        <v>0</v>
      </c>
      <c r="H41" s="23">
        <f>VLOOKUP(RIGHT('Tổng hợp điểm'!B41,8),'Điểm lý thuyết'!$B$3:$D$41,3,1)</f>
        <v>7.5</v>
      </c>
      <c r="I41" s="23">
        <f t="shared" si="1"/>
        <v>5</v>
      </c>
      <c r="J41" s="24">
        <f t="shared" si="2"/>
        <v>0</v>
      </c>
      <c r="K41" s="25" t="str">
        <f>VLOOKUP(J41,'Các bảng tham chiếu &amp; Thống kê'!$A$3:$B$10,2,1)</f>
        <v>F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6">
        <v>36.0</v>
      </c>
      <c r="B42" s="19" t="s">
        <v>139</v>
      </c>
      <c r="C42" s="19" t="str">
        <f>VLOOKUP(RIGHT('Tổng hợp điểm'!B42,8),'Điểm thực hành các buổi'!$B$3:$F$41,2,1)</f>
        <v>Nguyễn Anh Thư</v>
      </c>
      <c r="D42" s="20">
        <f>VLOOKUP(RIGHT('Tổng hợp điểm'!B42,8),'Điểm thực hành các buổi'!$B$3:$F$41,3,1)</f>
        <v>0.5</v>
      </c>
      <c r="E42" s="23">
        <f>VLOOKUP(RIGHT('Tổng hợp điểm'!B42,8),'Điểm thực hành các buổi'!$B$3:$F$41,4,1)</f>
        <v>0.35</v>
      </c>
      <c r="F42" s="23">
        <f>VLOOKUP(RIGHT('Tổng hợp điểm'!B42,8),'Điểm thực hành các buổi'!$B$3:$F$41,5,1)</f>
        <v>0.45</v>
      </c>
      <c r="G42" s="20">
        <f>VLOOKUP(RIGHT('Tổng hợp điểm'!B42,8),'Điểm bài tập lớn'!$B$3:$D$41,3,1)</f>
        <v>0.5</v>
      </c>
      <c r="H42" s="23">
        <f>VLOOKUP(RIGHT('Tổng hợp điểm'!B42,8),'Điểm lý thuyết'!$B$3:$D$41,3,1)</f>
        <v>5.5</v>
      </c>
      <c r="I42" s="23">
        <f t="shared" si="1"/>
        <v>5.1</v>
      </c>
      <c r="J42" s="24">
        <f t="shared" si="2"/>
        <v>5.6</v>
      </c>
      <c r="K42" s="25" t="str">
        <f>VLOOKUP(J42,'Các bảng tham chiếu &amp; Thống kê'!$A$3:$B$10,2,1)</f>
        <v>C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6">
        <v>37.0</v>
      </c>
      <c r="B43" s="19" t="s">
        <v>140</v>
      </c>
      <c r="C43" s="19" t="str">
        <f>VLOOKUP(RIGHT('Tổng hợp điểm'!B43,8),'Điểm thực hành các buổi'!$B$3:$F$41,2,1)</f>
        <v>Huỳnh Lê Tỷ</v>
      </c>
      <c r="D43" s="20">
        <f>VLOOKUP(RIGHT('Tổng hợp điểm'!B43,8),'Điểm thực hành các buổi'!$B$3:$F$41,3,1)</f>
        <v>0.5</v>
      </c>
      <c r="E43" s="23">
        <f>VLOOKUP(RIGHT('Tổng hợp điểm'!B43,8),'Điểm thực hành các buổi'!$B$3:$F$41,4,1)</f>
        <v>0.4</v>
      </c>
      <c r="F43" s="23">
        <f>VLOOKUP(RIGHT('Tổng hợp điểm'!B43,8),'Điểm thực hành các buổi'!$B$3:$F$41,5,1)</f>
        <v>0.4</v>
      </c>
      <c r="G43" s="20">
        <f>VLOOKUP(RIGHT('Tổng hợp điểm'!B43,8),'Điểm bài tập lớn'!$B$3:$D$41,3,1)</f>
        <v>0.3</v>
      </c>
      <c r="H43" s="23">
        <f>VLOOKUP(RIGHT('Tổng hợp điểm'!B43,8),'Điểm lý thuyết'!$B$3:$D$41,3,1)</f>
        <v>6.7</v>
      </c>
      <c r="I43" s="23">
        <f t="shared" si="1"/>
        <v>5.6</v>
      </c>
      <c r="J43" s="24">
        <f t="shared" si="2"/>
        <v>6.6</v>
      </c>
      <c r="K43" s="25" t="str">
        <f>VLOOKUP(J43,'Các bảng tham chiếu &amp; Thống kê'!$A$3:$B$10,2,1)</f>
        <v>C+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>
        <v>38.0</v>
      </c>
      <c r="B44" s="19" t="s">
        <v>141</v>
      </c>
      <c r="C44" s="19" t="str">
        <f>VLOOKUP(RIGHT('Tổng hợp điểm'!B44,8),'Điểm thực hành các buổi'!$B$3:$F$41,2,1)</f>
        <v>Nguyễn Ngọc Luyến</v>
      </c>
      <c r="D44" s="20">
        <f>VLOOKUP(RIGHT('Tổng hợp điểm'!B44,8),'Điểm thực hành các buổi'!$B$3:$F$41,3,1)</f>
        <v>0.3</v>
      </c>
      <c r="E44" s="23">
        <f>VLOOKUP(RIGHT('Tổng hợp điểm'!B44,8),'Điểm thực hành các buổi'!$B$3:$F$41,4,1)</f>
        <v>0.4</v>
      </c>
      <c r="F44" s="23">
        <f>VLOOKUP(RIGHT('Tổng hợp điểm'!B44,8),'Điểm thực hành các buổi'!$B$3:$F$41,5,1)</f>
        <v>0.45</v>
      </c>
      <c r="G44" s="20">
        <f>VLOOKUP(RIGHT('Tổng hợp điểm'!B44,8),'Điểm bài tập lớn'!$B$3:$D$41,3,1)</f>
        <v>1</v>
      </c>
      <c r="H44" s="23">
        <f>VLOOKUP(RIGHT('Tổng hợp điểm'!B44,8),'Điểm lý thuyết'!$B$3:$D$41,3,1)</f>
        <v>5.5</v>
      </c>
      <c r="I44" s="23">
        <f t="shared" si="1"/>
        <v>5.5</v>
      </c>
      <c r="J44" s="24">
        <f t="shared" si="2"/>
        <v>6.5</v>
      </c>
      <c r="K44" s="25" t="str">
        <f>VLOOKUP(J44,'Các bảng tham chiếu &amp; Thống kê'!$A$3:$B$10,2,1)</f>
        <v>C+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6">
        <v>39.0</v>
      </c>
      <c r="B45" s="19" t="s">
        <v>142</v>
      </c>
      <c r="C45" s="19" t="str">
        <f>VLOOKUP(RIGHT('Tổng hợp điểm'!B45,8),'Điểm thực hành các buổi'!$B$3:$F$41,2,1)</f>
        <v>Võ Thị Thùy Trang</v>
      </c>
      <c r="D45" s="20">
        <f>VLOOKUP(RIGHT('Tổng hợp điểm'!B45,8),'Điểm thực hành các buổi'!$B$3:$F$41,3,1)</f>
        <v>0.4</v>
      </c>
      <c r="E45" s="23">
        <f>VLOOKUP(RIGHT('Tổng hợp điểm'!B45,8),'Điểm thực hành các buổi'!$B$3:$F$41,4,1)</f>
        <v>0.4</v>
      </c>
      <c r="F45" s="23">
        <f>VLOOKUP(RIGHT('Tổng hợp điểm'!B45,8),'Điểm thực hành các buổi'!$B$3:$F$41,5,1)</f>
        <v>0.4</v>
      </c>
      <c r="G45" s="20">
        <f>VLOOKUP(RIGHT('Tổng hợp điểm'!B45,8),'Điểm bài tập lớn'!$B$3:$D$41,3,1)</f>
        <v>0.75</v>
      </c>
      <c r="H45" s="23">
        <f>VLOOKUP(RIGHT('Tổng hợp điểm'!B45,8),'Điểm lý thuyết'!$B$3:$D$41,3,1)</f>
        <v>3.2</v>
      </c>
      <c r="I45" s="23">
        <f t="shared" si="1"/>
        <v>3.9</v>
      </c>
      <c r="J45" s="24">
        <f t="shared" si="2"/>
        <v>4.4</v>
      </c>
      <c r="K45" s="25" t="str">
        <f>VLOOKUP(J45,'Các bảng tham chiếu &amp; Thống kê'!$A$3:$B$10,2,1)</f>
        <v>D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B1:H1"/>
    <mergeCell ref="D2:E2"/>
    <mergeCell ref="F2:H2"/>
    <mergeCell ref="D3:E3"/>
    <mergeCell ref="F3:H3"/>
    <mergeCell ref="D4:E4"/>
    <mergeCell ref="F4:H4"/>
  </mergeCells>
  <conditionalFormatting sqref="J44:K45 K7:K43">
    <cfRule type="cellIs" dxfId="0" priority="1" operator="lessThan">
      <formula>4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14"/>
    <col customWidth="1" min="3" max="3" width="31.86"/>
    <col customWidth="1" min="4" max="6" width="16.71"/>
    <col customWidth="1" min="7" max="26" width="8.71"/>
  </cols>
  <sheetData>
    <row r="1" ht="12.75" customHeight="1">
      <c r="A1" s="5" t="s">
        <v>1</v>
      </c>
      <c r="B1" s="7"/>
      <c r="C1" s="7"/>
      <c r="D1" s="7"/>
      <c r="E1" s="7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2" t="s">
        <v>4</v>
      </c>
      <c r="B2" s="12" t="s">
        <v>5</v>
      </c>
      <c r="C2" s="12" t="s">
        <v>6</v>
      </c>
      <c r="D2" s="12" t="s">
        <v>7</v>
      </c>
      <c r="E2" s="12" t="s">
        <v>8</v>
      </c>
      <c r="F2" s="12" t="s"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6">
        <v>1.0</v>
      </c>
      <c r="B3" s="18" t="s">
        <v>14</v>
      </c>
      <c r="C3" s="19" t="s">
        <v>15</v>
      </c>
      <c r="D3" s="20">
        <v>0.45</v>
      </c>
      <c r="E3" s="20">
        <v>0.25</v>
      </c>
      <c r="F3" s="20">
        <v>0.3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6">
        <v>2.0</v>
      </c>
      <c r="B4" s="18" t="s">
        <v>20</v>
      </c>
      <c r="C4" s="19" t="s">
        <v>21</v>
      </c>
      <c r="D4" s="20">
        <v>0.5</v>
      </c>
      <c r="E4" s="20">
        <v>0.35</v>
      </c>
      <c r="F4" s="20">
        <v>0.4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6">
        <v>3.0</v>
      </c>
      <c r="B5" s="18" t="s">
        <v>22</v>
      </c>
      <c r="C5" s="19" t="s">
        <v>23</v>
      </c>
      <c r="D5" s="20">
        <v>0.25</v>
      </c>
      <c r="E5" s="20">
        <v>0.25</v>
      </c>
      <c r="F5" s="20">
        <v>0.3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6">
        <v>4.0</v>
      </c>
      <c r="B6" s="18" t="s">
        <v>27</v>
      </c>
      <c r="C6" s="19" t="s">
        <v>28</v>
      </c>
      <c r="D6" s="20">
        <v>0.4</v>
      </c>
      <c r="E6" s="20">
        <v>0.25</v>
      </c>
      <c r="F6" s="20">
        <v>0.35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6">
        <v>5.0</v>
      </c>
      <c r="B7" s="18" t="s">
        <v>29</v>
      </c>
      <c r="C7" s="19" t="s">
        <v>30</v>
      </c>
      <c r="D7" s="20">
        <v>0.45</v>
      </c>
      <c r="E7" s="20">
        <v>0.4</v>
      </c>
      <c r="F7" s="20">
        <v>0.35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6">
        <v>6.0</v>
      </c>
      <c r="B8" s="18" t="s">
        <v>31</v>
      </c>
      <c r="C8" s="19" t="s">
        <v>32</v>
      </c>
      <c r="D8" s="20">
        <v>0.4</v>
      </c>
      <c r="E8" s="20">
        <v>0.45</v>
      </c>
      <c r="F8" s="20">
        <v>0.5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6">
        <v>7.0</v>
      </c>
      <c r="B9" s="18" t="s">
        <v>33</v>
      </c>
      <c r="C9" s="19" t="s">
        <v>34</v>
      </c>
      <c r="D9" s="20">
        <v>0.4</v>
      </c>
      <c r="E9" s="20">
        <v>0.4</v>
      </c>
      <c r="F9" s="20">
        <v>0.4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6">
        <v>8.0</v>
      </c>
      <c r="B10" s="18" t="s">
        <v>40</v>
      </c>
      <c r="C10" s="19" t="s">
        <v>41</v>
      </c>
      <c r="D10" s="20">
        <v>0.45</v>
      </c>
      <c r="E10" s="20">
        <v>0.4</v>
      </c>
      <c r="F10" s="20">
        <v>0.4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6">
        <v>9.0</v>
      </c>
      <c r="B11" s="18" t="s">
        <v>43</v>
      </c>
      <c r="C11" s="19" t="s">
        <v>44</v>
      </c>
      <c r="D11" s="20">
        <v>0.5</v>
      </c>
      <c r="E11" s="20">
        <v>0.4</v>
      </c>
      <c r="F11" s="20">
        <v>0.4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6">
        <v>10.0</v>
      </c>
      <c r="B12" s="18" t="s">
        <v>45</v>
      </c>
      <c r="C12" s="19" t="s">
        <v>46</v>
      </c>
      <c r="D12" s="20">
        <v>0.45</v>
      </c>
      <c r="E12" s="20">
        <v>0.4</v>
      </c>
      <c r="F12" s="20">
        <v>0.45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6">
        <v>11.0</v>
      </c>
      <c r="B13" s="18" t="s">
        <v>47</v>
      </c>
      <c r="C13" s="19" t="s">
        <v>48</v>
      </c>
      <c r="D13" s="20">
        <v>0.45</v>
      </c>
      <c r="E13" s="20">
        <v>0.4</v>
      </c>
      <c r="F13" s="20">
        <v>0.4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">
        <v>12.0</v>
      </c>
      <c r="B14" s="18" t="s">
        <v>49</v>
      </c>
      <c r="C14" s="19" t="s">
        <v>50</v>
      </c>
      <c r="D14" s="20">
        <v>0.3</v>
      </c>
      <c r="E14" s="20">
        <v>0.5</v>
      </c>
      <c r="F14" s="20">
        <v>0.45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6">
        <v>13.0</v>
      </c>
      <c r="B15" s="18" t="s">
        <v>51</v>
      </c>
      <c r="C15" s="19" t="s">
        <v>52</v>
      </c>
      <c r="D15" s="20">
        <v>0.4</v>
      </c>
      <c r="E15" s="20">
        <v>0.5</v>
      </c>
      <c r="F15" s="20">
        <v>0.5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6">
        <v>14.0</v>
      </c>
      <c r="B16" s="18" t="s">
        <v>53</v>
      </c>
      <c r="C16" s="19" t="s">
        <v>54</v>
      </c>
      <c r="D16" s="20">
        <v>0.5</v>
      </c>
      <c r="E16" s="20">
        <v>0.5</v>
      </c>
      <c r="F16" s="20">
        <v>0.45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6">
        <v>15.0</v>
      </c>
      <c r="B17" s="18" t="s">
        <v>55</v>
      </c>
      <c r="C17" s="19" t="s">
        <v>56</v>
      </c>
      <c r="D17" s="20">
        <v>0.4</v>
      </c>
      <c r="E17" s="20">
        <v>0.45</v>
      </c>
      <c r="F17" s="20">
        <v>0.4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6">
        <v>16.0</v>
      </c>
      <c r="B18" s="18" t="s">
        <v>57</v>
      </c>
      <c r="C18" s="19" t="s">
        <v>58</v>
      </c>
      <c r="D18" s="20">
        <v>0.4</v>
      </c>
      <c r="E18" s="20">
        <v>0.45</v>
      </c>
      <c r="F18" s="20">
        <v>0.45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6">
        <v>17.0</v>
      </c>
      <c r="B19" s="18" t="s">
        <v>59</v>
      </c>
      <c r="C19" s="19" t="s">
        <v>60</v>
      </c>
      <c r="D19" s="20">
        <v>0.5</v>
      </c>
      <c r="E19" s="20">
        <v>0.5</v>
      </c>
      <c r="F19" s="20">
        <v>0.45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6">
        <v>18.0</v>
      </c>
      <c r="B20" s="18" t="s">
        <v>61</v>
      </c>
      <c r="C20" s="19" t="s">
        <v>62</v>
      </c>
      <c r="D20" s="20">
        <v>0.4</v>
      </c>
      <c r="E20" s="20">
        <v>0.4</v>
      </c>
      <c r="F20" s="20">
        <v>0.4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6">
        <v>19.0</v>
      </c>
      <c r="B21" s="18" t="s">
        <v>63</v>
      </c>
      <c r="C21" s="19" t="s">
        <v>64</v>
      </c>
      <c r="D21" s="20">
        <v>0.4</v>
      </c>
      <c r="E21" s="20">
        <v>0.4</v>
      </c>
      <c r="F21" s="20">
        <v>0.35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6">
        <v>20.0</v>
      </c>
      <c r="B22" s="18" t="s">
        <v>65</v>
      </c>
      <c r="C22" s="19" t="s">
        <v>66</v>
      </c>
      <c r="D22" s="20">
        <v>0.35</v>
      </c>
      <c r="E22" s="20">
        <v>0.4</v>
      </c>
      <c r="F22" s="20">
        <v>0.0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6">
        <v>21.0</v>
      </c>
      <c r="B23" s="18" t="s">
        <v>67</v>
      </c>
      <c r="C23" s="19" t="s">
        <v>68</v>
      </c>
      <c r="D23" s="20">
        <v>0.5</v>
      </c>
      <c r="E23" s="20">
        <v>0.4</v>
      </c>
      <c r="F23" s="20">
        <v>0.45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6">
        <v>22.0</v>
      </c>
      <c r="B24" s="18" t="s">
        <v>69</v>
      </c>
      <c r="C24" s="19" t="s">
        <v>70</v>
      </c>
      <c r="D24" s="20">
        <v>0.4</v>
      </c>
      <c r="E24" s="20">
        <v>0.4</v>
      </c>
      <c r="F24" s="20">
        <v>0.4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6">
        <v>23.0</v>
      </c>
      <c r="B25" s="18" t="s">
        <v>71</v>
      </c>
      <c r="C25" s="19" t="s">
        <v>72</v>
      </c>
      <c r="D25" s="20">
        <v>0.5</v>
      </c>
      <c r="E25" s="20">
        <v>0.5</v>
      </c>
      <c r="F25" s="20">
        <v>0.5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6">
        <v>24.0</v>
      </c>
      <c r="B26" s="18" t="s">
        <v>73</v>
      </c>
      <c r="C26" s="19" t="s">
        <v>74</v>
      </c>
      <c r="D26" s="20">
        <v>0.45</v>
      </c>
      <c r="E26" s="20">
        <v>0.3</v>
      </c>
      <c r="F26" s="20">
        <v>0.45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6">
        <v>25.0</v>
      </c>
      <c r="B27" s="18" t="s">
        <v>75</v>
      </c>
      <c r="C27" s="19" t="s">
        <v>76</v>
      </c>
      <c r="D27" s="20">
        <v>0.3</v>
      </c>
      <c r="E27" s="20">
        <v>0.3</v>
      </c>
      <c r="F27" s="20">
        <v>0.4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6">
        <v>26.0</v>
      </c>
      <c r="B28" s="18" t="s">
        <v>77</v>
      </c>
      <c r="C28" s="19" t="s">
        <v>78</v>
      </c>
      <c r="D28" s="20">
        <v>0.5</v>
      </c>
      <c r="E28" s="20">
        <v>0.3</v>
      </c>
      <c r="F28" s="20">
        <v>0.45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6">
        <v>27.0</v>
      </c>
      <c r="B29" s="18" t="s">
        <v>79</v>
      </c>
      <c r="C29" s="19" t="s">
        <v>80</v>
      </c>
      <c r="D29" s="20">
        <v>0.5</v>
      </c>
      <c r="E29" s="20">
        <v>0.4</v>
      </c>
      <c r="F29" s="20">
        <v>0.45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6">
        <v>28.0</v>
      </c>
      <c r="B30" s="18" t="s">
        <v>81</v>
      </c>
      <c r="C30" s="19" t="s">
        <v>82</v>
      </c>
      <c r="D30" s="20">
        <v>0.5</v>
      </c>
      <c r="E30" s="20">
        <v>0.45</v>
      </c>
      <c r="F30" s="20">
        <v>0.45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6">
        <v>29.0</v>
      </c>
      <c r="B31" s="18" t="s">
        <v>83</v>
      </c>
      <c r="C31" s="19" t="s">
        <v>84</v>
      </c>
      <c r="D31" s="20">
        <v>0.5</v>
      </c>
      <c r="E31" s="20">
        <v>0.5</v>
      </c>
      <c r="F31" s="20">
        <v>0.5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6">
        <v>30.0</v>
      </c>
      <c r="B32" s="18" t="s">
        <v>86</v>
      </c>
      <c r="C32" s="19" t="s">
        <v>87</v>
      </c>
      <c r="D32" s="20">
        <v>0.5</v>
      </c>
      <c r="E32" s="20">
        <v>0.4</v>
      </c>
      <c r="F32" s="20">
        <v>0.45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6">
        <v>31.0</v>
      </c>
      <c r="B33" s="18" t="s">
        <v>88</v>
      </c>
      <c r="C33" s="19" t="s">
        <v>89</v>
      </c>
      <c r="D33" s="20">
        <v>0.4</v>
      </c>
      <c r="E33" s="20">
        <v>0.5</v>
      </c>
      <c r="F33" s="20">
        <v>0.5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6">
        <v>32.0</v>
      </c>
      <c r="B34" s="18" t="s">
        <v>90</v>
      </c>
      <c r="C34" s="19" t="s">
        <v>91</v>
      </c>
      <c r="D34" s="20">
        <v>0.4</v>
      </c>
      <c r="E34" s="20">
        <v>0.4</v>
      </c>
      <c r="F34" s="20">
        <v>0.45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6">
        <v>33.0</v>
      </c>
      <c r="B35" s="18" t="s">
        <v>92</v>
      </c>
      <c r="C35" s="19" t="s">
        <v>93</v>
      </c>
      <c r="D35" s="20">
        <v>0.4</v>
      </c>
      <c r="E35" s="20">
        <v>0.45</v>
      </c>
      <c r="F35" s="20">
        <v>0.45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6">
        <v>34.0</v>
      </c>
      <c r="B36" s="18" t="s">
        <v>94</v>
      </c>
      <c r="C36" s="19" t="s">
        <v>95</v>
      </c>
      <c r="D36" s="20">
        <v>0.4</v>
      </c>
      <c r="E36" s="20">
        <v>0.0</v>
      </c>
      <c r="F36" s="20">
        <v>0.45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6">
        <v>35.0</v>
      </c>
      <c r="B37" s="18" t="s">
        <v>96</v>
      </c>
      <c r="C37" s="19" t="s">
        <v>97</v>
      </c>
      <c r="D37" s="20">
        <v>0.5</v>
      </c>
      <c r="E37" s="20">
        <v>0.0</v>
      </c>
      <c r="F37" s="20">
        <v>0.0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6">
        <v>36.0</v>
      </c>
      <c r="B38" s="18" t="s">
        <v>98</v>
      </c>
      <c r="C38" s="19" t="s">
        <v>99</v>
      </c>
      <c r="D38" s="20">
        <v>0.5</v>
      </c>
      <c r="E38" s="20">
        <v>0.35</v>
      </c>
      <c r="F38" s="20">
        <v>0.45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6">
        <v>37.0</v>
      </c>
      <c r="B39" s="18" t="s">
        <v>100</v>
      </c>
      <c r="C39" s="19" t="s">
        <v>101</v>
      </c>
      <c r="D39" s="20">
        <v>0.5</v>
      </c>
      <c r="E39" s="20">
        <v>0.4</v>
      </c>
      <c r="F39" s="20">
        <v>0.4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6">
        <v>38.0</v>
      </c>
      <c r="B40" s="18" t="s">
        <v>103</v>
      </c>
      <c r="C40" s="19" t="s">
        <v>104</v>
      </c>
      <c r="D40" s="20">
        <v>0.3</v>
      </c>
      <c r="E40" s="20">
        <v>0.4</v>
      </c>
      <c r="F40" s="20">
        <v>0.45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6">
        <v>39.0</v>
      </c>
      <c r="B41" s="18" t="s">
        <v>105</v>
      </c>
      <c r="C41" s="19" t="s">
        <v>106</v>
      </c>
      <c r="D41" s="20">
        <v>0.4</v>
      </c>
      <c r="E41" s="20">
        <v>0.4</v>
      </c>
      <c r="F41" s="20">
        <v>0.4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2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2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2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2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2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2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2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2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2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2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2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2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2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2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2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2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2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2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2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2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2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2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2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2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2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2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2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2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2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2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2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2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2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2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2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2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2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2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2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2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2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2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2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2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2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2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2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2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2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2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2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2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2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2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2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2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2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2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2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2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2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2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2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2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2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2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2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2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2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2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2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2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2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2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2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2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2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2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2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2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2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2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2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2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2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2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2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2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2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2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2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2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2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2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2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2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2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2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2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2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2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2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2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2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2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2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2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2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2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2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2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2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2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2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2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2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2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2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2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2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2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2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2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2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2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2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2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2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2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2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2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2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2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2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2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2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2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2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2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2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2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2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2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2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2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2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2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2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2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2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2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2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2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2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2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2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2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2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2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2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2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2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2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2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2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2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2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2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2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2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2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2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2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2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2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2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2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2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2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2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2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2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2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2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2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2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2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2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2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2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2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2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2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2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2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2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2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2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2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2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2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2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2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2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2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2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2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2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2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2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2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2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2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2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2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2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2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2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2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2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2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2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2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2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2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2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2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2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2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2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2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2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2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2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2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2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2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2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2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2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2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2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2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2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2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2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2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2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2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2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2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2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2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2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2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2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2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2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2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2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2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2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2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2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2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2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2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2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2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2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2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2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2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2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2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2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2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2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2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2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2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2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2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2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2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2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2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2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2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2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2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2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2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2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2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2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2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2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2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2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2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2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2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2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2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2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2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2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2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2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2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2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2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2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2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2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2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2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2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2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2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2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2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2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2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2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2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2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2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2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2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2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2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2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2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2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2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2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2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2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2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2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2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2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2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2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2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2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2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2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2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2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2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2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2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2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2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2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2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2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2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2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2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2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2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2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2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2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2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2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2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2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2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2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2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2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2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2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2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2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2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2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2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2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2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2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2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2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2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2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2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2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2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2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2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2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2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2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2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2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2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2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2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2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2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2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2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2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2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2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2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2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2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2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2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2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2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2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2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2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2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2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2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2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2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2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2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2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2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2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2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2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2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2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2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2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2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2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2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2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2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2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2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2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2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2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2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2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2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2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2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2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2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2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2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2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2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2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2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2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2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2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2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2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2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2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2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2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2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2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2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2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2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2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2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2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2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2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2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2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2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2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2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2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2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2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2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2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2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2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2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2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2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2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2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2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2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2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2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2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2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2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2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2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2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2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2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2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2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2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2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2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2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2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2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2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2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2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2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2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2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2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2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2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2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2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2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2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2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2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2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2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2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2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2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2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2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2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2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2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2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2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2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2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2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2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2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2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2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2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2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2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2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2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2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2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2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2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2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2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2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2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2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2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2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2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2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2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2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2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2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2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2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2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2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2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2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2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2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2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2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2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2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2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2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2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2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2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2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2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2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2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2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2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2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2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2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2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2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2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2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2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2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2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2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2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2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2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2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2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2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2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2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2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2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2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2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2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2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2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2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2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2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2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2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2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2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2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2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2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2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2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2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2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2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2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2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2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2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2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2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2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2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2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2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2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2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2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2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2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2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2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2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2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2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2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2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2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2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2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2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2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2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2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2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2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2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2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2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2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2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2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2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2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2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2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2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2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2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2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2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2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2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2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2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2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2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2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2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2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2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2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2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2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2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2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2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2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2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2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2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2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2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2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2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2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2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2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2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2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2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2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2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2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2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2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2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2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2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2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2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2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2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2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2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2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2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2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2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2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2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2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2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2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2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2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2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2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2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2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2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2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2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2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2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2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2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2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2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2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2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2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2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2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2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2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2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2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2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2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2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2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2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2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2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2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2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2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2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2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2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2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2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2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2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2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2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2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2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2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2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2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2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2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2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2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2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2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2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2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2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2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2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2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2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2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2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2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2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2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2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2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2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2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2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2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2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2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2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2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2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2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2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2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2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2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2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2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2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2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2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2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2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2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2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2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2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2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2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2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2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2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2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2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2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2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2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2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2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2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2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2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2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2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2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2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2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2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2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2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2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2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2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2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2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2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2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2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2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2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2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2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2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2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2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2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2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2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2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2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2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2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2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2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2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2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2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2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2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2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2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2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2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2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2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2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2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2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2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2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2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2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2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2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2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2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2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2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2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2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2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2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2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2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2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2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2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2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2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2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2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2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2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2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2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2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2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2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2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2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2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2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2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2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2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2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2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2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2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2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2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2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2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2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2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2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2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2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2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2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2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2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2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2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2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2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2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2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2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2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2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2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2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2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2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26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26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26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26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14"/>
    <col customWidth="1" min="3" max="3" width="35.14"/>
    <col customWidth="1" min="4" max="4" width="19.14"/>
    <col customWidth="1" min="5" max="6" width="9.29"/>
    <col customWidth="1" min="7" max="26" width="8.71"/>
  </cols>
  <sheetData>
    <row r="1" ht="12.75" customHeight="1">
      <c r="A1" s="2" t="s">
        <v>0</v>
      </c>
      <c r="B1" s="4"/>
      <c r="C1" s="4"/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4" t="s">
        <v>4</v>
      </c>
      <c r="B2" s="14" t="s">
        <v>5</v>
      </c>
      <c r="C2" s="14" t="s">
        <v>6</v>
      </c>
      <c r="D2" s="14" t="s">
        <v>13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6">
        <v>1.0</v>
      </c>
      <c r="B3" s="18" t="s">
        <v>14</v>
      </c>
      <c r="C3" s="19" t="s">
        <v>15</v>
      </c>
      <c r="D3" s="20">
        <v>0.5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6">
        <v>2.0</v>
      </c>
      <c r="B4" s="18" t="s">
        <v>20</v>
      </c>
      <c r="C4" s="19" t="s">
        <v>21</v>
      </c>
      <c r="D4" s="20">
        <v>1.0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6">
        <v>3.0</v>
      </c>
      <c r="B5" s="18" t="s">
        <v>22</v>
      </c>
      <c r="C5" s="19" t="s">
        <v>23</v>
      </c>
      <c r="D5" s="20">
        <v>0.5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6">
        <v>4.0</v>
      </c>
      <c r="B6" s="18" t="s">
        <v>27</v>
      </c>
      <c r="C6" s="19" t="s">
        <v>28</v>
      </c>
      <c r="D6" s="20">
        <v>1.0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6">
        <v>5.0</v>
      </c>
      <c r="B7" s="18" t="s">
        <v>29</v>
      </c>
      <c r="C7" s="19" t="s">
        <v>30</v>
      </c>
      <c r="D7" s="20">
        <v>0.75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6">
        <v>6.0</v>
      </c>
      <c r="B8" s="18" t="s">
        <v>31</v>
      </c>
      <c r="C8" s="19" t="s">
        <v>32</v>
      </c>
      <c r="D8" s="20">
        <v>1.2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6">
        <v>7.0</v>
      </c>
      <c r="B9" s="18" t="s">
        <v>33</v>
      </c>
      <c r="C9" s="19" t="s">
        <v>34</v>
      </c>
      <c r="D9" s="20">
        <v>1.0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6">
        <v>8.0</v>
      </c>
      <c r="B10" s="18" t="s">
        <v>40</v>
      </c>
      <c r="C10" s="19" t="s">
        <v>41</v>
      </c>
      <c r="D10" s="20">
        <v>1.0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6">
        <v>9.0</v>
      </c>
      <c r="B11" s="18" t="s">
        <v>43</v>
      </c>
      <c r="C11" s="19" t="s">
        <v>44</v>
      </c>
      <c r="D11" s="20">
        <v>1.0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6">
        <v>10.0</v>
      </c>
      <c r="B12" s="18" t="s">
        <v>45</v>
      </c>
      <c r="C12" s="19" t="s">
        <v>46</v>
      </c>
      <c r="D12" s="22">
        <v>0.0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6">
        <v>11.0</v>
      </c>
      <c r="B13" s="18" t="s">
        <v>47</v>
      </c>
      <c r="C13" s="19" t="s">
        <v>48</v>
      </c>
      <c r="D13" s="20">
        <v>0.75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">
        <v>12.0</v>
      </c>
      <c r="B14" s="18" t="s">
        <v>49</v>
      </c>
      <c r="C14" s="19" t="s">
        <v>50</v>
      </c>
      <c r="D14" s="20">
        <v>0.3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6">
        <v>13.0</v>
      </c>
      <c r="B15" s="18" t="s">
        <v>51</v>
      </c>
      <c r="C15" s="19" t="s">
        <v>52</v>
      </c>
      <c r="D15" s="20">
        <v>1.2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6">
        <v>14.0</v>
      </c>
      <c r="B16" s="18" t="s">
        <v>53</v>
      </c>
      <c r="C16" s="19" t="s">
        <v>54</v>
      </c>
      <c r="D16" s="20">
        <v>0.3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6">
        <v>15.0</v>
      </c>
      <c r="B17" s="18" t="s">
        <v>55</v>
      </c>
      <c r="C17" s="19" t="s">
        <v>56</v>
      </c>
      <c r="D17" s="20">
        <v>0.3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6">
        <v>16.0</v>
      </c>
      <c r="B18" s="18" t="s">
        <v>57</v>
      </c>
      <c r="C18" s="19" t="s">
        <v>58</v>
      </c>
      <c r="D18" s="20">
        <v>1.0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6">
        <v>17.0</v>
      </c>
      <c r="B19" s="18" t="s">
        <v>59</v>
      </c>
      <c r="C19" s="19" t="s">
        <v>60</v>
      </c>
      <c r="D19" s="20">
        <v>1.5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6">
        <v>18.0</v>
      </c>
      <c r="B20" s="18" t="s">
        <v>61</v>
      </c>
      <c r="C20" s="19" t="s">
        <v>62</v>
      </c>
      <c r="D20" s="20">
        <v>0.3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6">
        <v>19.0</v>
      </c>
      <c r="B21" s="18" t="s">
        <v>63</v>
      </c>
      <c r="C21" s="19" t="s">
        <v>64</v>
      </c>
      <c r="D21" s="20">
        <v>1.35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6">
        <v>20.0</v>
      </c>
      <c r="B22" s="18" t="s">
        <v>65</v>
      </c>
      <c r="C22" s="19" t="s">
        <v>66</v>
      </c>
      <c r="D22" s="20">
        <v>0.85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6">
        <v>21.0</v>
      </c>
      <c r="B23" s="18" t="s">
        <v>67</v>
      </c>
      <c r="C23" s="19" t="s">
        <v>68</v>
      </c>
      <c r="D23" s="20">
        <v>1.35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6">
        <v>22.0</v>
      </c>
      <c r="B24" s="18" t="s">
        <v>69</v>
      </c>
      <c r="C24" s="19" t="s">
        <v>70</v>
      </c>
      <c r="D24" s="20">
        <v>0.0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6">
        <v>23.0</v>
      </c>
      <c r="B25" s="18" t="s">
        <v>71</v>
      </c>
      <c r="C25" s="19" t="s">
        <v>72</v>
      </c>
      <c r="D25" s="20">
        <v>1.5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6">
        <v>24.0</v>
      </c>
      <c r="B26" s="18" t="s">
        <v>73</v>
      </c>
      <c r="C26" s="19" t="s">
        <v>74</v>
      </c>
      <c r="D26" s="20">
        <v>1.2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6">
        <v>25.0</v>
      </c>
      <c r="B27" s="18" t="s">
        <v>75</v>
      </c>
      <c r="C27" s="19" t="s">
        <v>76</v>
      </c>
      <c r="D27" s="20">
        <v>0.75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6">
        <v>26.0</v>
      </c>
      <c r="B28" s="18" t="s">
        <v>77</v>
      </c>
      <c r="C28" s="19" t="s">
        <v>78</v>
      </c>
      <c r="D28" s="20">
        <v>1.0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6">
        <v>27.0</v>
      </c>
      <c r="B29" s="18" t="s">
        <v>79</v>
      </c>
      <c r="C29" s="19" t="s">
        <v>80</v>
      </c>
      <c r="D29" s="20">
        <v>1.5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6">
        <v>28.0</v>
      </c>
      <c r="B30" s="18" t="s">
        <v>81</v>
      </c>
      <c r="C30" s="19" t="s">
        <v>82</v>
      </c>
      <c r="D30" s="20">
        <v>1.0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6">
        <v>29.0</v>
      </c>
      <c r="B31" s="18" t="s">
        <v>83</v>
      </c>
      <c r="C31" s="19" t="s">
        <v>84</v>
      </c>
      <c r="D31" s="22">
        <v>0.0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6">
        <v>30.0</v>
      </c>
      <c r="B32" s="18" t="s">
        <v>86</v>
      </c>
      <c r="C32" s="19" t="s">
        <v>87</v>
      </c>
      <c r="D32" s="20">
        <v>1.0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6">
        <v>31.0</v>
      </c>
      <c r="B33" s="18" t="s">
        <v>88</v>
      </c>
      <c r="C33" s="19" t="s">
        <v>89</v>
      </c>
      <c r="D33" s="20">
        <v>1.0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6">
        <v>32.0</v>
      </c>
      <c r="B34" s="18" t="s">
        <v>90</v>
      </c>
      <c r="C34" s="19" t="s">
        <v>91</v>
      </c>
      <c r="D34" s="20">
        <v>1.0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6">
        <v>33.0</v>
      </c>
      <c r="B35" s="18" t="s">
        <v>92</v>
      </c>
      <c r="C35" s="19" t="s">
        <v>93</v>
      </c>
      <c r="D35" s="20">
        <v>1.0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6">
        <v>34.0</v>
      </c>
      <c r="B36" s="18" t="s">
        <v>94</v>
      </c>
      <c r="C36" s="19" t="s">
        <v>95</v>
      </c>
      <c r="D36" s="20">
        <v>0.75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6">
        <v>35.0</v>
      </c>
      <c r="B37" s="18" t="s">
        <v>96</v>
      </c>
      <c r="C37" s="19" t="s">
        <v>97</v>
      </c>
      <c r="D37" s="20">
        <v>0.0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6">
        <v>36.0</v>
      </c>
      <c r="B38" s="18" t="s">
        <v>98</v>
      </c>
      <c r="C38" s="19" t="s">
        <v>99</v>
      </c>
      <c r="D38" s="20">
        <v>0.5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6">
        <v>37.0</v>
      </c>
      <c r="B39" s="18" t="s">
        <v>100</v>
      </c>
      <c r="C39" s="19" t="s">
        <v>101</v>
      </c>
      <c r="D39" s="20">
        <v>0.3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6">
        <v>38.0</v>
      </c>
      <c r="B40" s="18" t="s">
        <v>103</v>
      </c>
      <c r="C40" s="19" t="s">
        <v>104</v>
      </c>
      <c r="D40" s="20">
        <v>1.0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6">
        <v>39.0</v>
      </c>
      <c r="B41" s="18" t="s">
        <v>105</v>
      </c>
      <c r="C41" s="19" t="s">
        <v>106</v>
      </c>
      <c r="D41" s="20">
        <v>0.75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0"/>
    <col customWidth="1" min="3" max="3" width="32.29"/>
    <col customWidth="1" min="4" max="4" width="21.29"/>
    <col customWidth="1" min="5" max="5" width="45.86"/>
    <col customWidth="1" min="6" max="6" width="9.29"/>
    <col customWidth="1" min="7" max="26" width="8.71"/>
  </cols>
  <sheetData>
    <row r="1" ht="12.75" customHeight="1">
      <c r="A1" s="3" t="s">
        <v>2</v>
      </c>
      <c r="B1" s="4"/>
      <c r="C1" s="4"/>
      <c r="D1" s="6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7" t="s">
        <v>4</v>
      </c>
      <c r="B2" s="17" t="s">
        <v>5</v>
      </c>
      <c r="C2" s="17" t="s">
        <v>6</v>
      </c>
      <c r="D2" s="17" t="s">
        <v>16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6">
        <v>1.0</v>
      </c>
      <c r="B3" s="19" t="s">
        <v>14</v>
      </c>
      <c r="C3" s="19" t="s">
        <v>15</v>
      </c>
      <c r="D3" s="16">
        <v>4.2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6">
        <v>2.0</v>
      </c>
      <c r="B4" s="19" t="s">
        <v>20</v>
      </c>
      <c r="C4" s="19" t="s">
        <v>21</v>
      </c>
      <c r="D4" s="16">
        <v>5.8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6">
        <v>3.0</v>
      </c>
      <c r="B5" s="19" t="s">
        <v>22</v>
      </c>
      <c r="C5" s="19" t="s">
        <v>23</v>
      </c>
      <c r="D5" s="16">
        <v>5.8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6">
        <v>4.0</v>
      </c>
      <c r="B6" s="19" t="s">
        <v>27</v>
      </c>
      <c r="C6" s="19" t="s">
        <v>28</v>
      </c>
      <c r="D6" s="16">
        <v>4.5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6">
        <v>5.0</v>
      </c>
      <c r="B7" s="19" t="s">
        <v>29</v>
      </c>
      <c r="C7" s="19" t="s">
        <v>30</v>
      </c>
      <c r="D7" s="16">
        <v>5.5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6">
        <v>6.0</v>
      </c>
      <c r="B8" s="19" t="s">
        <v>31</v>
      </c>
      <c r="C8" s="19" t="s">
        <v>32</v>
      </c>
      <c r="D8" s="16">
        <v>7.5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6">
        <v>7.0</v>
      </c>
      <c r="B9" s="19" t="s">
        <v>33</v>
      </c>
      <c r="C9" s="19" t="s">
        <v>34</v>
      </c>
      <c r="D9" s="16">
        <v>5.3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6">
        <v>8.0</v>
      </c>
      <c r="B10" s="19" t="s">
        <v>40</v>
      </c>
      <c r="C10" s="19" t="s">
        <v>41</v>
      </c>
      <c r="D10" s="16">
        <v>7.7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6">
        <v>9.0</v>
      </c>
      <c r="B11" s="19" t="s">
        <v>43</v>
      </c>
      <c r="C11" s="19" t="s">
        <v>44</v>
      </c>
      <c r="D11" s="16">
        <v>-3.0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6">
        <v>10.0</v>
      </c>
      <c r="B12" s="19" t="s">
        <v>45</v>
      </c>
      <c r="C12" s="19" t="s">
        <v>46</v>
      </c>
      <c r="D12" s="16">
        <v>6.8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6">
        <v>11.0</v>
      </c>
      <c r="B13" s="19" t="s">
        <v>47</v>
      </c>
      <c r="C13" s="19" t="s">
        <v>48</v>
      </c>
      <c r="D13" s="16">
        <v>6.3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">
        <v>12.0</v>
      </c>
      <c r="B14" s="19" t="s">
        <v>49</v>
      </c>
      <c r="C14" s="19" t="s">
        <v>50</v>
      </c>
      <c r="D14" s="16">
        <v>8.3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6">
        <v>13.0</v>
      </c>
      <c r="B15" s="19" t="s">
        <v>51</v>
      </c>
      <c r="C15" s="19" t="s">
        <v>52</v>
      </c>
      <c r="D15" s="16">
        <v>5.5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6">
        <v>14.0</v>
      </c>
      <c r="B16" s="19" t="s">
        <v>53</v>
      </c>
      <c r="C16" s="19" t="s">
        <v>54</v>
      </c>
      <c r="D16" s="16">
        <v>6.0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6">
        <v>15.0</v>
      </c>
      <c r="B17" s="19" t="s">
        <v>55</v>
      </c>
      <c r="C17" s="19" t="s">
        <v>56</v>
      </c>
      <c r="D17" s="16">
        <v>-3.0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6">
        <v>16.0</v>
      </c>
      <c r="B18" s="19" t="s">
        <v>57</v>
      </c>
      <c r="C18" s="19" t="s">
        <v>58</v>
      </c>
      <c r="D18" s="16">
        <v>5.7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6">
        <v>17.0</v>
      </c>
      <c r="B19" s="19" t="s">
        <v>59</v>
      </c>
      <c r="C19" s="19" t="s">
        <v>60</v>
      </c>
      <c r="D19" s="16">
        <v>7.0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6">
        <v>18.0</v>
      </c>
      <c r="B20" s="19" t="s">
        <v>61</v>
      </c>
      <c r="C20" s="19" t="s">
        <v>62</v>
      </c>
      <c r="D20" s="16">
        <v>6.5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6">
        <v>19.0</v>
      </c>
      <c r="B21" s="19" t="s">
        <v>63</v>
      </c>
      <c r="C21" s="19" t="s">
        <v>64</v>
      </c>
      <c r="D21" s="16">
        <v>-3.0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6">
        <v>20.0</v>
      </c>
      <c r="B22" s="19" t="s">
        <v>65</v>
      </c>
      <c r="C22" s="19" t="s">
        <v>66</v>
      </c>
      <c r="D22" s="16">
        <v>6.5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6">
        <v>21.0</v>
      </c>
      <c r="B23" s="19" t="s">
        <v>67</v>
      </c>
      <c r="C23" s="19" t="s">
        <v>68</v>
      </c>
      <c r="D23" s="16">
        <v>6.7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6">
        <v>22.0</v>
      </c>
      <c r="B24" s="19" t="s">
        <v>69</v>
      </c>
      <c r="C24" s="19" t="s">
        <v>70</v>
      </c>
      <c r="D24" s="16">
        <v>4.5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6">
        <v>23.0</v>
      </c>
      <c r="B25" s="19" t="s">
        <v>71</v>
      </c>
      <c r="C25" s="19" t="s">
        <v>72</v>
      </c>
      <c r="D25" s="16">
        <v>7.5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6">
        <v>24.0</v>
      </c>
      <c r="B26" s="19" t="s">
        <v>73</v>
      </c>
      <c r="C26" s="19" t="s">
        <v>74</v>
      </c>
      <c r="D26" s="16">
        <v>8.8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6">
        <v>25.0</v>
      </c>
      <c r="B27" s="19" t="s">
        <v>75</v>
      </c>
      <c r="C27" s="19" t="s">
        <v>76</v>
      </c>
      <c r="D27" s="16">
        <v>6.8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6">
        <v>26.0</v>
      </c>
      <c r="B28" s="19" t="s">
        <v>77</v>
      </c>
      <c r="C28" s="19" t="s">
        <v>78</v>
      </c>
      <c r="D28" s="16">
        <v>7.8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6">
        <v>27.0</v>
      </c>
      <c r="B29" s="19" t="s">
        <v>79</v>
      </c>
      <c r="C29" s="19" t="s">
        <v>80</v>
      </c>
      <c r="D29" s="16">
        <v>8.8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6">
        <v>28.0</v>
      </c>
      <c r="B30" s="19" t="s">
        <v>81</v>
      </c>
      <c r="C30" s="19" t="s">
        <v>82</v>
      </c>
      <c r="D30" s="16">
        <v>7.8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6">
        <v>29.0</v>
      </c>
      <c r="B31" s="19" t="s">
        <v>83</v>
      </c>
      <c r="C31" s="19" t="s">
        <v>84</v>
      </c>
      <c r="D31" s="16">
        <v>7.7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6">
        <v>30.0</v>
      </c>
      <c r="B32" s="19" t="s">
        <v>86</v>
      </c>
      <c r="C32" s="19" t="s">
        <v>87</v>
      </c>
      <c r="D32" s="16">
        <v>-3.0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6">
        <v>31.0</v>
      </c>
      <c r="B33" s="19" t="s">
        <v>88</v>
      </c>
      <c r="C33" s="19" t="s">
        <v>89</v>
      </c>
      <c r="D33" s="16">
        <v>9.2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6">
        <v>32.0</v>
      </c>
      <c r="B34" s="19" t="s">
        <v>90</v>
      </c>
      <c r="C34" s="19" t="s">
        <v>91</v>
      </c>
      <c r="D34" s="16">
        <v>7.5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6">
        <v>33.0</v>
      </c>
      <c r="B35" s="19" t="s">
        <v>92</v>
      </c>
      <c r="C35" s="19" t="s">
        <v>93</v>
      </c>
      <c r="D35" s="16">
        <v>-3.0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6">
        <v>34.0</v>
      </c>
      <c r="B36" s="19" t="s">
        <v>94</v>
      </c>
      <c r="C36" s="19" t="s">
        <v>95</v>
      </c>
      <c r="D36" s="16">
        <v>8.3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6">
        <v>35.0</v>
      </c>
      <c r="B37" s="19" t="s">
        <v>96</v>
      </c>
      <c r="C37" s="19" t="s">
        <v>97</v>
      </c>
      <c r="D37" s="16">
        <v>7.5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6">
        <v>36.0</v>
      </c>
      <c r="B38" s="19" t="s">
        <v>98</v>
      </c>
      <c r="C38" s="19" t="s">
        <v>99</v>
      </c>
      <c r="D38" s="16">
        <v>5.5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6">
        <v>37.0</v>
      </c>
      <c r="B39" s="19" t="s">
        <v>100</v>
      </c>
      <c r="C39" s="19" t="s">
        <v>101</v>
      </c>
      <c r="D39" s="16">
        <v>6.7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6">
        <v>38.0</v>
      </c>
      <c r="B40" s="19" t="s">
        <v>103</v>
      </c>
      <c r="C40" s="19" t="s">
        <v>104</v>
      </c>
      <c r="D40" s="16">
        <v>5.5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6">
        <v>39.0</v>
      </c>
      <c r="B41" s="19" t="s">
        <v>105</v>
      </c>
      <c r="C41" s="19" t="s">
        <v>106</v>
      </c>
      <c r="D41" s="16">
        <v>3.2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29"/>
    <col customWidth="1" min="3" max="3" width="34.86"/>
    <col customWidth="1" min="4" max="4" width="6.29"/>
    <col customWidth="1" min="5" max="5" width="27.0"/>
    <col customWidth="1" min="6" max="6" width="38.14"/>
    <col customWidth="1" min="7" max="7" width="6.29"/>
    <col customWidth="1" min="8" max="8" width="6.0"/>
    <col customWidth="1" min="9" max="9" width="28.0"/>
    <col customWidth="1" min="10" max="10" width="27.0"/>
    <col customWidth="1" min="11" max="11" width="83.0"/>
    <col customWidth="1" min="12" max="12" width="39.86"/>
    <col customWidth="1" min="13" max="15" width="14.71"/>
    <col customWidth="1" min="16" max="16" width="17.29"/>
    <col customWidth="1" min="17" max="17" width="12.0"/>
    <col customWidth="1" min="18" max="18" width="14.43"/>
    <col customWidth="1" min="19" max="19" width="33.71"/>
    <col customWidth="1" min="20" max="20" width="13.43"/>
    <col customWidth="1" min="21" max="21" width="11.14"/>
    <col customWidth="1" min="22" max="23" width="9.29"/>
    <col customWidth="1" min="24" max="26" width="8.71"/>
  </cols>
  <sheetData>
    <row r="1" ht="12.75" customHeight="1">
      <c r="A1" s="27" t="s">
        <v>143</v>
      </c>
      <c r="B1" s="4"/>
      <c r="C1" s="6"/>
      <c r="D1" s="11"/>
      <c r="E1" s="28" t="s">
        <v>144</v>
      </c>
      <c r="F1" s="6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29" t="s">
        <v>38</v>
      </c>
      <c r="B2" s="29" t="s">
        <v>39</v>
      </c>
      <c r="C2" s="29" t="s">
        <v>145</v>
      </c>
      <c r="D2" s="11"/>
      <c r="E2" s="30" t="s">
        <v>146</v>
      </c>
      <c r="F2" s="30" t="s">
        <v>147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31">
        <v>0.0</v>
      </c>
      <c r="B3" s="32" t="s">
        <v>148</v>
      </c>
      <c r="C3" s="31">
        <v>0.0</v>
      </c>
      <c r="D3" s="11"/>
      <c r="E3" s="33">
        <v>0.0</v>
      </c>
      <c r="F3" s="34">
        <v>1.0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31">
        <v>4.0</v>
      </c>
      <c r="B4" s="32" t="s">
        <v>149</v>
      </c>
      <c r="C4" s="31">
        <v>1.0</v>
      </c>
      <c r="D4" s="11"/>
      <c r="E4" s="33">
        <v>1.0</v>
      </c>
      <c r="F4" s="34">
        <v>0.5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31">
        <v>5.0</v>
      </c>
      <c r="B5" s="32" t="s">
        <v>150</v>
      </c>
      <c r="C5" s="31">
        <v>1.5</v>
      </c>
      <c r="D5" s="11"/>
      <c r="E5" s="33">
        <v>2.0</v>
      </c>
      <c r="F5" s="34">
        <v>0.25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31">
        <v>5.5</v>
      </c>
      <c r="B6" s="32" t="s">
        <v>151</v>
      </c>
      <c r="C6" s="31">
        <v>2.0</v>
      </c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31">
        <v>6.5</v>
      </c>
      <c r="B7" s="32" t="s">
        <v>152</v>
      </c>
      <c r="C7" s="31">
        <v>2.5</v>
      </c>
      <c r="D7" s="11"/>
      <c r="E7" s="11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31">
        <v>7.0</v>
      </c>
      <c r="B8" s="32" t="s">
        <v>153</v>
      </c>
      <c r="C8" s="31">
        <v>3.0</v>
      </c>
      <c r="D8" s="11"/>
      <c r="E8" s="11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31">
        <v>8.0</v>
      </c>
      <c r="B9" s="32" t="s">
        <v>154</v>
      </c>
      <c r="C9" s="31">
        <v>3.5</v>
      </c>
      <c r="D9" s="11"/>
      <c r="E9" s="11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31">
        <v>9.0</v>
      </c>
      <c r="B10" s="32" t="s">
        <v>155</v>
      </c>
      <c r="C10" s="31">
        <v>4.0</v>
      </c>
      <c r="D10" s="11"/>
      <c r="E10" s="11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35"/>
      <c r="B11" s="35"/>
      <c r="C11" s="35"/>
      <c r="D11" s="11"/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36" t="s">
        <v>156</v>
      </c>
      <c r="B12" s="4"/>
      <c r="C12" s="6"/>
      <c r="D12" s="11"/>
      <c r="E12" s="37" t="s">
        <v>157</v>
      </c>
      <c r="F12" s="6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29" t="s">
        <v>4</v>
      </c>
      <c r="B13" s="29" t="s">
        <v>5</v>
      </c>
      <c r="C13" s="29" t="s">
        <v>6</v>
      </c>
      <c r="D13" s="11"/>
      <c r="E13" s="29" t="s">
        <v>39</v>
      </c>
      <c r="F13" s="29" t="s">
        <v>158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">
        <v>1.0</v>
      </c>
      <c r="B14" s="19" t="s">
        <v>53</v>
      </c>
      <c r="C14" s="19" t="s">
        <v>54</v>
      </c>
      <c r="D14" s="11"/>
      <c r="E14" s="38" t="s">
        <v>155</v>
      </c>
      <c r="F14" s="39">
        <f>COUNTIF('Tổng hợp điểm'!$K$7:$K$45,E14)</f>
        <v>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6">
        <v>2.0</v>
      </c>
      <c r="B15" s="19" t="s">
        <v>27</v>
      </c>
      <c r="C15" s="19" t="s">
        <v>28</v>
      </c>
      <c r="D15" s="11"/>
      <c r="E15" s="38" t="s">
        <v>154</v>
      </c>
      <c r="F15" s="39">
        <f>COUNTIF('Tổng hợp điểm'!$K$7:$K$45,E15)</f>
        <v>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6">
        <v>3.0</v>
      </c>
      <c r="B16" s="19" t="s">
        <v>77</v>
      </c>
      <c r="C16" s="19" t="s">
        <v>78</v>
      </c>
      <c r="D16" s="11"/>
      <c r="E16" s="38" t="s">
        <v>153</v>
      </c>
      <c r="F16" s="39">
        <f>COUNTIF('Tổng hợp điểm'!$K$7:$K$45,E16)</f>
        <v>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6">
        <v>4.0</v>
      </c>
      <c r="B17" s="19" t="s">
        <v>65</v>
      </c>
      <c r="C17" s="19" t="s">
        <v>66</v>
      </c>
      <c r="D17" s="11"/>
      <c r="E17" s="38" t="s">
        <v>152</v>
      </c>
      <c r="F17" s="39">
        <f>COUNTIF('Tổng hợp điểm'!$K$7:$K$45,E17)</f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6">
        <v>5.0</v>
      </c>
      <c r="B18" s="19" t="s">
        <v>75</v>
      </c>
      <c r="C18" s="19" t="s">
        <v>76</v>
      </c>
      <c r="D18" s="11"/>
      <c r="E18" s="38" t="s">
        <v>151</v>
      </c>
      <c r="F18" s="39">
        <f>COUNTIF('Tổng hợp điểm'!$K$7:$K$45,E18)</f>
        <v>9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6">
        <v>6.0</v>
      </c>
      <c r="B19" s="19" t="s">
        <v>73</v>
      </c>
      <c r="C19" s="19" t="s">
        <v>74</v>
      </c>
      <c r="D19" s="11"/>
      <c r="E19" s="38" t="s">
        <v>150</v>
      </c>
      <c r="F19" s="39">
        <f>COUNTIF('Tổng hợp điểm'!$K$7:$K$45,E19)</f>
        <v>1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6">
        <v>7.0</v>
      </c>
      <c r="B20" s="19" t="s">
        <v>100</v>
      </c>
      <c r="C20" s="19" t="s">
        <v>101</v>
      </c>
      <c r="D20" s="11"/>
      <c r="E20" s="38" t="s">
        <v>149</v>
      </c>
      <c r="F20" s="39">
        <f>COUNTIF('Tổng hợp điểm'!$K$7:$K$45,E20)</f>
        <v>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6">
        <v>8.0</v>
      </c>
      <c r="B21" s="19" t="s">
        <v>45</v>
      </c>
      <c r="C21" s="19" t="s">
        <v>46</v>
      </c>
      <c r="D21" s="11"/>
      <c r="E21" s="38" t="s">
        <v>148</v>
      </c>
      <c r="F21" s="39">
        <f>COUNTIF('Tổng hợp điểm'!$K$7:$K$45,E21)</f>
        <v>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6">
        <v>9.0</v>
      </c>
      <c r="B22" s="19" t="s">
        <v>83</v>
      </c>
      <c r="C22" s="19" t="s">
        <v>84</v>
      </c>
      <c r="D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6">
        <v>10.0</v>
      </c>
      <c r="B23" s="19" t="s">
        <v>71</v>
      </c>
      <c r="C23" s="19" t="s">
        <v>72</v>
      </c>
      <c r="D23" s="11"/>
      <c r="E23" s="40" t="s">
        <v>159</v>
      </c>
      <c r="F23" s="6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6">
        <v>11.0</v>
      </c>
      <c r="B24" s="19" t="s">
        <v>33</v>
      </c>
      <c r="C24" s="19" t="s">
        <v>34</v>
      </c>
      <c r="D24" s="11"/>
      <c r="E24" s="41" t="s">
        <v>160</v>
      </c>
      <c r="F24" s="42">
        <f>COUNTIF('Tổng hợp điểm'!$G$7:$G$45,0)+COUNTIF('Tổng hợp điểm'!$H$7:$H$45,-3)</f>
        <v>9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6">
        <v>12.0</v>
      </c>
      <c r="B25" s="19" t="s">
        <v>69</v>
      </c>
      <c r="C25" s="19" t="s">
        <v>70</v>
      </c>
      <c r="D25" s="11"/>
      <c r="E25" s="43"/>
      <c r="F25" s="43"/>
      <c r="G25" s="10"/>
      <c r="H25" s="10"/>
      <c r="I25" s="10"/>
      <c r="J25" s="10"/>
      <c r="K25" s="44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6">
        <v>13.0</v>
      </c>
      <c r="B26" s="19" t="s">
        <v>29</v>
      </c>
      <c r="C26" s="19" t="s">
        <v>30</v>
      </c>
      <c r="D26" s="11"/>
      <c r="E26" s="45"/>
      <c r="F26" s="4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6">
        <v>14.0</v>
      </c>
      <c r="B27" s="19" t="s">
        <v>20</v>
      </c>
      <c r="C27" s="19" t="s">
        <v>21</v>
      </c>
      <c r="D27" s="11"/>
      <c r="E27" s="46" t="s">
        <v>161</v>
      </c>
      <c r="F27" s="42">
        <f>DCOUNT('Tổng hợp điểm'!A6:K45, 'Tổng hợp điểm'!J6, I27:J29)</f>
        <v>6</v>
      </c>
      <c r="G27" s="10"/>
      <c r="H27" s="10"/>
      <c r="I27" s="47" t="s">
        <v>38</v>
      </c>
      <c r="J27" s="47" t="s">
        <v>39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6">
        <v>15.0</v>
      </c>
      <c r="B28" s="19" t="s">
        <v>67</v>
      </c>
      <c r="C28" s="19" t="s">
        <v>68</v>
      </c>
      <c r="D28" s="11"/>
      <c r="E28" s="43"/>
      <c r="F28" s="43"/>
      <c r="G28" s="10"/>
      <c r="H28" s="10"/>
      <c r="I28" s="47" t="s">
        <v>162</v>
      </c>
      <c r="J28" s="47" t="str">
        <f>"B+"</f>
        <v>B+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6">
        <v>16.0</v>
      </c>
      <c r="B29" s="19" t="s">
        <v>79</v>
      </c>
      <c r="C29" s="19" t="s">
        <v>80</v>
      </c>
      <c r="D29" s="11"/>
      <c r="E29" s="45"/>
      <c r="F29" s="45"/>
      <c r="G29" s="10"/>
      <c r="H29" s="10"/>
      <c r="I29" s="47" t="s">
        <v>162</v>
      </c>
      <c r="J29" s="47" t="s">
        <v>155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6">
        <v>17.0</v>
      </c>
      <c r="B30" s="19" t="s">
        <v>98</v>
      </c>
      <c r="C30" s="19" t="s">
        <v>99</v>
      </c>
      <c r="D30" s="11"/>
      <c r="E30" s="11"/>
      <c r="F30" s="11"/>
      <c r="G30" s="10"/>
      <c r="H30" s="10"/>
      <c r="I30" s="4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6">
        <v>18.0</v>
      </c>
      <c r="B31" s="19" t="s">
        <v>57</v>
      </c>
      <c r="C31" s="19" t="s">
        <v>58</v>
      </c>
      <c r="D31" s="11"/>
      <c r="E31" s="11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6">
        <v>19.0</v>
      </c>
      <c r="B32" s="19" t="s">
        <v>55</v>
      </c>
      <c r="C32" s="19" t="s">
        <v>56</v>
      </c>
      <c r="D32" s="11"/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6">
        <v>20.0</v>
      </c>
      <c r="B33" s="19" t="s">
        <v>94</v>
      </c>
      <c r="C33" s="19" t="s">
        <v>95</v>
      </c>
      <c r="D33" s="11"/>
      <c r="E33" s="11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6">
        <v>21.0</v>
      </c>
      <c r="B34" s="19" t="s">
        <v>59</v>
      </c>
      <c r="C34" s="19" t="s">
        <v>60</v>
      </c>
      <c r="D34" s="11"/>
      <c r="E34" s="11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6">
        <v>22.0</v>
      </c>
      <c r="B35" s="19" t="s">
        <v>61</v>
      </c>
      <c r="C35" s="19" t="s">
        <v>62</v>
      </c>
      <c r="D35" s="11"/>
      <c r="E35" s="11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6">
        <v>23.0</v>
      </c>
      <c r="B36" s="19" t="s">
        <v>86</v>
      </c>
      <c r="C36" s="19" t="s">
        <v>87</v>
      </c>
      <c r="D36" s="11"/>
      <c r="E36" s="11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U36" s="10"/>
      <c r="V36" s="10"/>
      <c r="W36" s="10"/>
      <c r="X36" s="10"/>
      <c r="Y36" s="10"/>
      <c r="Z36" s="10"/>
    </row>
    <row r="37" ht="12.75" customHeight="1">
      <c r="A37" s="16">
        <v>24.0</v>
      </c>
      <c r="B37" s="19" t="s">
        <v>22</v>
      </c>
      <c r="C37" s="19" t="s">
        <v>23</v>
      </c>
      <c r="D37" s="11"/>
      <c r="E37" s="11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U37" s="10"/>
      <c r="V37" s="10"/>
      <c r="W37" s="10"/>
      <c r="X37" s="10"/>
      <c r="Y37" s="10"/>
      <c r="Z37" s="10"/>
    </row>
    <row r="38" ht="12.75" customHeight="1">
      <c r="A38" s="16">
        <v>25.0</v>
      </c>
      <c r="B38" s="19" t="s">
        <v>103</v>
      </c>
      <c r="C38" s="19" t="s">
        <v>104</v>
      </c>
      <c r="D38" s="11"/>
      <c r="E38" s="11"/>
      <c r="U38" s="10"/>
      <c r="V38" s="10"/>
      <c r="W38" s="10"/>
      <c r="X38" s="10"/>
      <c r="Y38" s="10"/>
      <c r="Z38" s="10"/>
    </row>
    <row r="39" ht="15.75" customHeight="1">
      <c r="A39" s="16">
        <v>26.0</v>
      </c>
      <c r="B39" s="19" t="s">
        <v>14</v>
      </c>
      <c r="C39" s="19" t="s">
        <v>15</v>
      </c>
      <c r="D39" s="11"/>
      <c r="E39" s="11"/>
      <c r="U39" s="44"/>
      <c r="V39" s="44"/>
      <c r="W39" s="44"/>
      <c r="X39" s="10"/>
      <c r="Y39" s="10"/>
      <c r="Z39" s="10"/>
    </row>
    <row r="40" ht="12.75" customHeight="1">
      <c r="A40" s="16">
        <v>27.0</v>
      </c>
      <c r="B40" s="19" t="s">
        <v>92</v>
      </c>
      <c r="C40" s="19" t="s">
        <v>93</v>
      </c>
      <c r="D40" s="11"/>
      <c r="E40" s="11"/>
      <c r="U40" s="10"/>
      <c r="V40" s="10"/>
      <c r="W40" s="10"/>
      <c r="X40" s="10"/>
      <c r="Y40" s="10"/>
      <c r="Z40" s="10"/>
    </row>
    <row r="41" ht="12.75" customHeight="1">
      <c r="A41" s="16">
        <v>28.0</v>
      </c>
      <c r="B41" s="19" t="s">
        <v>49</v>
      </c>
      <c r="C41" s="19" t="s">
        <v>50</v>
      </c>
      <c r="D41" s="11"/>
      <c r="E41" s="11"/>
      <c r="U41" s="10"/>
      <c r="V41" s="10"/>
      <c r="W41" s="10"/>
      <c r="X41" s="10"/>
      <c r="Y41" s="10"/>
      <c r="Z41" s="10"/>
    </row>
    <row r="42" ht="12.75" customHeight="1">
      <c r="A42" s="16">
        <v>29.0</v>
      </c>
      <c r="B42" s="19" t="s">
        <v>81</v>
      </c>
      <c r="C42" s="19" t="s">
        <v>82</v>
      </c>
      <c r="D42" s="11"/>
      <c r="E42" s="11"/>
      <c r="U42" s="10"/>
      <c r="V42" s="10"/>
      <c r="W42" s="10"/>
      <c r="X42" s="10"/>
      <c r="Y42" s="10"/>
      <c r="Z42" s="10"/>
    </row>
    <row r="43" ht="12.75" customHeight="1">
      <c r="A43" s="16">
        <v>30.0</v>
      </c>
      <c r="B43" s="19" t="s">
        <v>31</v>
      </c>
      <c r="C43" s="19" t="s">
        <v>32</v>
      </c>
      <c r="D43" s="11"/>
      <c r="E43" s="11"/>
      <c r="U43" s="10"/>
      <c r="V43" s="10"/>
      <c r="W43" s="10"/>
      <c r="X43" s="10"/>
      <c r="Y43" s="10"/>
      <c r="Z43" s="10"/>
    </row>
    <row r="44" ht="12.75" customHeight="1">
      <c r="A44" s="16">
        <v>31.0</v>
      </c>
      <c r="B44" s="19" t="s">
        <v>40</v>
      </c>
      <c r="C44" s="19" t="s">
        <v>41</v>
      </c>
      <c r="D44" s="11"/>
      <c r="E44" s="11"/>
      <c r="U44" s="10"/>
      <c r="V44" s="10"/>
      <c r="W44" s="10"/>
      <c r="X44" s="10"/>
      <c r="Y44" s="10"/>
      <c r="Z44" s="10"/>
    </row>
    <row r="45" ht="12.75" customHeight="1">
      <c r="A45" s="16">
        <v>32.0</v>
      </c>
      <c r="B45" s="19" t="s">
        <v>63</v>
      </c>
      <c r="C45" s="19" t="s">
        <v>64</v>
      </c>
      <c r="D45" s="11"/>
      <c r="E45" s="11"/>
      <c r="U45" s="10"/>
      <c r="V45" s="10"/>
      <c r="W45" s="10"/>
      <c r="X45" s="10"/>
      <c r="Y45" s="10"/>
      <c r="Z45" s="10"/>
    </row>
    <row r="46" ht="12.75" customHeight="1">
      <c r="A46" s="16">
        <v>33.0</v>
      </c>
      <c r="B46" s="19" t="s">
        <v>88</v>
      </c>
      <c r="C46" s="19" t="s">
        <v>89</v>
      </c>
      <c r="D46" s="11"/>
      <c r="E46" s="11"/>
      <c r="U46" s="10"/>
      <c r="V46" s="10"/>
      <c r="W46" s="10"/>
      <c r="X46" s="10"/>
      <c r="Y46" s="10"/>
      <c r="Z46" s="10"/>
    </row>
    <row r="47" ht="12.75" customHeight="1">
      <c r="A47" s="16">
        <v>34.0</v>
      </c>
      <c r="B47" s="19" t="s">
        <v>43</v>
      </c>
      <c r="C47" s="19" t="s">
        <v>44</v>
      </c>
      <c r="D47" s="11"/>
      <c r="E47" s="11"/>
      <c r="U47" s="10"/>
      <c r="V47" s="10"/>
      <c r="W47" s="10"/>
      <c r="X47" s="10"/>
      <c r="Y47" s="10"/>
      <c r="Z47" s="10"/>
    </row>
    <row r="48" ht="12.75" customHeight="1">
      <c r="A48" s="16">
        <v>35.0</v>
      </c>
      <c r="B48" s="19" t="s">
        <v>47</v>
      </c>
      <c r="C48" s="19" t="s">
        <v>48</v>
      </c>
      <c r="D48" s="11"/>
      <c r="E48" s="11"/>
      <c r="U48" s="10"/>
      <c r="V48" s="10"/>
      <c r="W48" s="10"/>
      <c r="X48" s="10"/>
      <c r="Y48" s="10"/>
      <c r="Z48" s="10"/>
    </row>
    <row r="49" ht="12.75" customHeight="1">
      <c r="A49" s="16">
        <v>36.0</v>
      </c>
      <c r="B49" s="19" t="s">
        <v>96</v>
      </c>
      <c r="C49" s="19" t="s">
        <v>97</v>
      </c>
      <c r="D49" s="11"/>
      <c r="E49" s="11"/>
      <c r="U49" s="10"/>
      <c r="V49" s="10"/>
      <c r="W49" s="10"/>
      <c r="X49" s="10"/>
      <c r="Y49" s="10"/>
      <c r="Z49" s="10"/>
    </row>
    <row r="50" ht="12.75" customHeight="1">
      <c r="A50" s="16">
        <v>37.0</v>
      </c>
      <c r="B50" s="19" t="s">
        <v>90</v>
      </c>
      <c r="C50" s="19" t="s">
        <v>91</v>
      </c>
      <c r="D50" s="11"/>
      <c r="E50" s="11"/>
      <c r="U50" s="10"/>
      <c r="V50" s="10"/>
      <c r="W50" s="10"/>
      <c r="X50" s="10"/>
      <c r="Y50" s="10"/>
      <c r="Z50" s="10"/>
    </row>
    <row r="51" ht="12.75" customHeight="1">
      <c r="A51" s="16">
        <v>38.0</v>
      </c>
      <c r="B51" s="19" t="s">
        <v>105</v>
      </c>
      <c r="C51" s="19" t="s">
        <v>106</v>
      </c>
      <c r="D51" s="11"/>
      <c r="E51" s="11"/>
      <c r="U51" s="10"/>
      <c r="V51" s="10"/>
      <c r="W51" s="10"/>
      <c r="X51" s="10"/>
      <c r="Y51" s="10"/>
      <c r="Z51" s="10"/>
    </row>
    <row r="52" ht="12.75" customHeight="1">
      <c r="A52" s="16">
        <v>39.0</v>
      </c>
      <c r="B52" s="19" t="s">
        <v>51</v>
      </c>
      <c r="C52" s="19" t="s">
        <v>52</v>
      </c>
      <c r="D52" s="11"/>
      <c r="E52" s="11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">
    <mergeCell ref="E27:E29"/>
    <mergeCell ref="F27:F29"/>
    <mergeCell ref="A1:C1"/>
    <mergeCell ref="E1:F1"/>
    <mergeCell ref="A12:C12"/>
    <mergeCell ref="E12:F12"/>
    <mergeCell ref="E23:F23"/>
    <mergeCell ref="E24:E26"/>
    <mergeCell ref="F24:F2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3.71"/>
    <col customWidth="1" min="3" max="3" width="25.14"/>
    <col customWidth="1" min="4" max="11" width="10.86"/>
    <col customWidth="1" min="12" max="26" width="12.86"/>
  </cols>
  <sheetData>
    <row r="1" ht="12.75" customHeight="1">
      <c r="A1" s="21" t="s">
        <v>4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10</v>
      </c>
      <c r="G1" s="21" t="s">
        <v>35</v>
      </c>
      <c r="H1" s="21" t="s">
        <v>36</v>
      </c>
      <c r="I1" s="21" t="s">
        <v>37</v>
      </c>
      <c r="J1" s="21" t="s">
        <v>38</v>
      </c>
      <c r="K1" s="21" t="s">
        <v>39</v>
      </c>
    </row>
    <row r="2" ht="12.75" customHeight="1">
      <c r="A2" s="16">
        <v>1.0</v>
      </c>
      <c r="B2" s="19" t="s">
        <v>42</v>
      </c>
      <c r="C2" s="19" t="s">
        <v>15</v>
      </c>
      <c r="D2" s="20">
        <v>0.45</v>
      </c>
      <c r="E2" s="23">
        <v>0.25</v>
      </c>
      <c r="F2" s="23">
        <v>0.3</v>
      </c>
      <c r="G2" s="20">
        <v>0.5</v>
      </c>
      <c r="H2" s="23">
        <v>4.2</v>
      </c>
      <c r="I2" s="23">
        <v>4.0</v>
      </c>
      <c r="J2" s="24">
        <v>5.0</v>
      </c>
      <c r="K2" s="25" t="s">
        <v>150</v>
      </c>
    </row>
    <row r="3" ht="12.75" customHeight="1">
      <c r="A3" s="16">
        <v>2.0</v>
      </c>
      <c r="B3" s="19" t="s">
        <v>85</v>
      </c>
      <c r="C3" s="19" t="s">
        <v>21</v>
      </c>
      <c r="D3" s="20">
        <v>0.5</v>
      </c>
      <c r="E3" s="23">
        <v>0.35</v>
      </c>
      <c r="F3" s="23">
        <v>0.4</v>
      </c>
      <c r="G3" s="20">
        <v>1.0</v>
      </c>
      <c r="H3" s="23">
        <v>5.8</v>
      </c>
      <c r="I3" s="23">
        <v>5.7</v>
      </c>
      <c r="J3" s="24">
        <v>6.2</v>
      </c>
      <c r="K3" s="25" t="s">
        <v>151</v>
      </c>
    </row>
    <row r="4" ht="12.75" customHeight="1">
      <c r="A4" s="16">
        <v>3.0</v>
      </c>
      <c r="B4" s="19" t="s">
        <v>102</v>
      </c>
      <c r="C4" s="19" t="s">
        <v>23</v>
      </c>
      <c r="D4" s="20">
        <v>0.25</v>
      </c>
      <c r="E4" s="23">
        <v>0.25</v>
      </c>
      <c r="F4" s="23">
        <v>0.3</v>
      </c>
      <c r="G4" s="20">
        <v>0.5</v>
      </c>
      <c r="H4" s="23">
        <v>5.8</v>
      </c>
      <c r="I4" s="23">
        <v>4.8</v>
      </c>
      <c r="J4" s="24">
        <v>5.8</v>
      </c>
      <c r="K4" s="25" t="s">
        <v>151</v>
      </c>
    </row>
    <row r="5" ht="12.75" customHeight="1">
      <c r="A5" s="16">
        <v>4.0</v>
      </c>
      <c r="B5" s="19" t="s">
        <v>107</v>
      </c>
      <c r="C5" s="19" t="s">
        <v>28</v>
      </c>
      <c r="D5" s="20">
        <v>0.4</v>
      </c>
      <c r="E5" s="23">
        <v>0.25</v>
      </c>
      <c r="F5" s="23">
        <v>0.35</v>
      </c>
      <c r="G5" s="20">
        <v>1.0</v>
      </c>
      <c r="H5" s="23">
        <v>4.5</v>
      </c>
      <c r="I5" s="23">
        <v>4.7</v>
      </c>
      <c r="J5" s="24">
        <v>5.7</v>
      </c>
      <c r="K5" s="25" t="s">
        <v>151</v>
      </c>
    </row>
    <row r="6" ht="12.75" customHeight="1">
      <c r="A6" s="16">
        <v>5.0</v>
      </c>
      <c r="B6" s="19" t="s">
        <v>108</v>
      </c>
      <c r="C6" s="19" t="s">
        <v>30</v>
      </c>
      <c r="D6" s="20">
        <v>0.45</v>
      </c>
      <c r="E6" s="23">
        <v>0.4</v>
      </c>
      <c r="F6" s="23">
        <v>0.35</v>
      </c>
      <c r="G6" s="20">
        <v>0.75</v>
      </c>
      <c r="H6" s="23">
        <v>5.5</v>
      </c>
      <c r="I6" s="23">
        <v>5.3</v>
      </c>
      <c r="J6" s="24">
        <v>5.6</v>
      </c>
      <c r="K6" s="25" t="s">
        <v>151</v>
      </c>
    </row>
    <row r="7" ht="12.75" customHeight="1">
      <c r="A7" s="16">
        <v>7.0</v>
      </c>
      <c r="B7" s="19" t="s">
        <v>110</v>
      </c>
      <c r="C7" s="19" t="s">
        <v>34</v>
      </c>
      <c r="D7" s="20">
        <v>0.4</v>
      </c>
      <c r="E7" s="23">
        <v>0.4</v>
      </c>
      <c r="F7" s="23">
        <v>0.4</v>
      </c>
      <c r="G7" s="20">
        <v>1.0</v>
      </c>
      <c r="H7" s="23">
        <v>5.3</v>
      </c>
      <c r="I7" s="23">
        <v>5.4</v>
      </c>
      <c r="J7" s="24">
        <v>6.4</v>
      </c>
      <c r="K7" s="25" t="s">
        <v>151</v>
      </c>
    </row>
    <row r="8" ht="12.75" customHeight="1">
      <c r="A8" s="16">
        <v>9.0</v>
      </c>
      <c r="B8" s="19" t="s">
        <v>112</v>
      </c>
      <c r="C8" s="19" t="s">
        <v>44</v>
      </c>
      <c r="D8" s="20">
        <v>0.5</v>
      </c>
      <c r="E8" s="23">
        <v>0.4</v>
      </c>
      <c r="F8" s="23">
        <v>0.4</v>
      </c>
      <c r="G8" s="20">
        <v>1.0</v>
      </c>
      <c r="H8" s="23">
        <v>-3.0</v>
      </c>
      <c r="I8" s="23">
        <v>0.0</v>
      </c>
      <c r="J8" s="24">
        <v>0.0</v>
      </c>
      <c r="K8" s="25" t="s">
        <v>148</v>
      </c>
    </row>
    <row r="9" ht="12.75" customHeight="1">
      <c r="A9" s="16">
        <v>10.0</v>
      </c>
      <c r="B9" s="19" t="s">
        <v>113</v>
      </c>
      <c r="C9" s="19" t="s">
        <v>46</v>
      </c>
      <c r="D9" s="20">
        <v>0.45</v>
      </c>
      <c r="E9" s="23">
        <v>0.4</v>
      </c>
      <c r="F9" s="23">
        <v>0.45</v>
      </c>
      <c r="G9" s="20">
        <v>0.0</v>
      </c>
      <c r="H9" s="23">
        <v>6.8</v>
      </c>
      <c r="I9" s="23">
        <v>5.4</v>
      </c>
      <c r="J9" s="24">
        <v>0.0</v>
      </c>
      <c r="K9" s="25" t="s">
        <v>148</v>
      </c>
    </row>
    <row r="10" ht="12.75" customHeight="1">
      <c r="A10" s="16">
        <v>11.0</v>
      </c>
      <c r="B10" s="19" t="s">
        <v>114</v>
      </c>
      <c r="C10" s="19" t="s">
        <v>48</v>
      </c>
      <c r="D10" s="20">
        <v>0.45</v>
      </c>
      <c r="E10" s="23">
        <v>0.4</v>
      </c>
      <c r="F10" s="23">
        <v>0.4</v>
      </c>
      <c r="G10" s="20">
        <v>0.75</v>
      </c>
      <c r="H10" s="23">
        <v>6.3</v>
      </c>
      <c r="I10" s="23">
        <v>5.8</v>
      </c>
      <c r="J10" s="24">
        <v>6.8</v>
      </c>
      <c r="K10" s="25" t="s">
        <v>152</v>
      </c>
    </row>
    <row r="11" ht="12.75" customHeight="1">
      <c r="A11" s="16">
        <v>13.0</v>
      </c>
      <c r="B11" s="19" t="s">
        <v>116</v>
      </c>
      <c r="C11" s="19" t="s">
        <v>52</v>
      </c>
      <c r="D11" s="20">
        <v>0.4</v>
      </c>
      <c r="E11" s="23">
        <v>0.5</v>
      </c>
      <c r="F11" s="23">
        <v>0.5</v>
      </c>
      <c r="G11" s="20">
        <v>1.2</v>
      </c>
      <c r="H11" s="23">
        <v>5.5</v>
      </c>
      <c r="I11" s="23">
        <v>5.9</v>
      </c>
      <c r="J11" s="24">
        <v>6.9</v>
      </c>
      <c r="K11" s="25" t="s">
        <v>152</v>
      </c>
    </row>
    <row r="12" ht="12.75" customHeight="1">
      <c r="A12" s="16">
        <v>14.0</v>
      </c>
      <c r="B12" s="19" t="s">
        <v>117</v>
      </c>
      <c r="C12" s="19" t="s">
        <v>54</v>
      </c>
      <c r="D12" s="20">
        <v>0.5</v>
      </c>
      <c r="E12" s="23">
        <v>0.5</v>
      </c>
      <c r="F12" s="23">
        <v>0.45</v>
      </c>
      <c r="G12" s="20">
        <v>0.3</v>
      </c>
      <c r="H12" s="23">
        <v>6.0</v>
      </c>
      <c r="I12" s="23">
        <v>5.4</v>
      </c>
      <c r="J12" s="24">
        <v>6.4</v>
      </c>
      <c r="K12" s="25" t="s">
        <v>151</v>
      </c>
    </row>
    <row r="13" ht="12.75" customHeight="1">
      <c r="A13" s="16">
        <v>15.0</v>
      </c>
      <c r="B13" s="19" t="s">
        <v>118</v>
      </c>
      <c r="C13" s="19" t="s">
        <v>56</v>
      </c>
      <c r="D13" s="20">
        <v>0.4</v>
      </c>
      <c r="E13" s="23">
        <v>0.45</v>
      </c>
      <c r="F13" s="23">
        <v>0.4</v>
      </c>
      <c r="G13" s="20">
        <v>0.3</v>
      </c>
      <c r="H13" s="23">
        <v>-3.0</v>
      </c>
      <c r="I13" s="23">
        <v>0.0</v>
      </c>
      <c r="J13" s="24">
        <v>0.0</v>
      </c>
      <c r="K13" s="25" t="s">
        <v>148</v>
      </c>
    </row>
    <row r="14" ht="12.75" customHeight="1">
      <c r="A14" s="16">
        <v>16.0</v>
      </c>
      <c r="B14" s="19" t="s">
        <v>119</v>
      </c>
      <c r="C14" s="19" t="s">
        <v>58</v>
      </c>
      <c r="D14" s="20">
        <v>0.4</v>
      </c>
      <c r="E14" s="23">
        <v>0.45</v>
      </c>
      <c r="F14" s="23">
        <v>0.45</v>
      </c>
      <c r="G14" s="20">
        <v>1.0</v>
      </c>
      <c r="H14" s="23">
        <v>5.7</v>
      </c>
      <c r="I14" s="23">
        <v>5.7</v>
      </c>
      <c r="J14" s="24">
        <v>6.7</v>
      </c>
      <c r="K14" s="25" t="s">
        <v>152</v>
      </c>
    </row>
    <row r="15" ht="12.75" customHeight="1">
      <c r="A15" s="16">
        <v>18.0</v>
      </c>
      <c r="B15" s="19" t="s">
        <v>121</v>
      </c>
      <c r="C15" s="19" t="s">
        <v>62</v>
      </c>
      <c r="D15" s="20">
        <v>0.4</v>
      </c>
      <c r="E15" s="23">
        <v>0.4</v>
      </c>
      <c r="F15" s="23">
        <v>0.4</v>
      </c>
      <c r="G15" s="20">
        <v>0.3</v>
      </c>
      <c r="H15" s="23">
        <v>6.5</v>
      </c>
      <c r="I15" s="23">
        <v>5.4</v>
      </c>
      <c r="J15" s="24">
        <v>6.4</v>
      </c>
      <c r="K15" s="25" t="s">
        <v>151</v>
      </c>
    </row>
    <row r="16" ht="12.75" customHeight="1">
      <c r="A16" s="16">
        <v>19.0</v>
      </c>
      <c r="B16" s="19" t="s">
        <v>122</v>
      </c>
      <c r="C16" s="19" t="s">
        <v>64</v>
      </c>
      <c r="D16" s="20">
        <v>0.4</v>
      </c>
      <c r="E16" s="23">
        <v>0.4</v>
      </c>
      <c r="F16" s="23">
        <v>0.35</v>
      </c>
      <c r="G16" s="20">
        <v>1.35</v>
      </c>
      <c r="H16" s="23">
        <v>-3.0</v>
      </c>
      <c r="I16" s="23">
        <v>0.0</v>
      </c>
      <c r="J16" s="24">
        <v>0.0</v>
      </c>
      <c r="K16" s="25" t="s">
        <v>148</v>
      </c>
    </row>
    <row r="17" ht="12.75" customHeight="1">
      <c r="A17" s="16">
        <v>20.0</v>
      </c>
      <c r="B17" s="19" t="s">
        <v>123</v>
      </c>
      <c r="C17" s="19" t="s">
        <v>66</v>
      </c>
      <c r="D17" s="20">
        <v>0.35</v>
      </c>
      <c r="E17" s="23">
        <v>0.4</v>
      </c>
      <c r="F17" s="23">
        <v>0.0</v>
      </c>
      <c r="G17" s="20">
        <v>0.85</v>
      </c>
      <c r="H17" s="23">
        <v>6.5</v>
      </c>
      <c r="I17" s="23">
        <v>5.5</v>
      </c>
      <c r="J17" s="24">
        <v>6.5</v>
      </c>
      <c r="K17" s="25" t="s">
        <v>152</v>
      </c>
    </row>
    <row r="18" ht="12.75" customHeight="1">
      <c r="A18" s="16">
        <v>22.0</v>
      </c>
      <c r="B18" s="19" t="s">
        <v>125</v>
      </c>
      <c r="C18" s="19" t="s">
        <v>70</v>
      </c>
      <c r="D18" s="20">
        <v>0.4</v>
      </c>
      <c r="E18" s="23">
        <v>0.4</v>
      </c>
      <c r="F18" s="23">
        <v>0.4</v>
      </c>
      <c r="G18" s="20">
        <v>0.0</v>
      </c>
      <c r="H18" s="23">
        <v>4.5</v>
      </c>
      <c r="I18" s="23">
        <v>3.9</v>
      </c>
      <c r="J18" s="24">
        <v>0.0</v>
      </c>
      <c r="K18" s="25" t="s">
        <v>148</v>
      </c>
    </row>
    <row r="19" ht="12.75" customHeight="1">
      <c r="A19" s="16">
        <v>25.0</v>
      </c>
      <c r="B19" s="19" t="s">
        <v>128</v>
      </c>
      <c r="C19" s="19" t="s">
        <v>76</v>
      </c>
      <c r="D19" s="20">
        <v>0.3</v>
      </c>
      <c r="E19" s="23">
        <v>0.3</v>
      </c>
      <c r="F19" s="23">
        <v>0.4</v>
      </c>
      <c r="G19" s="20">
        <v>0.75</v>
      </c>
      <c r="H19" s="23">
        <v>6.8</v>
      </c>
      <c r="I19" s="23">
        <v>5.8</v>
      </c>
      <c r="J19" s="24">
        <v>6.3</v>
      </c>
      <c r="K19" s="25" t="s">
        <v>151</v>
      </c>
    </row>
    <row r="20" ht="12.75" customHeight="1">
      <c r="A20" s="16">
        <v>29.0</v>
      </c>
      <c r="B20" s="19" t="s">
        <v>132</v>
      </c>
      <c r="C20" s="19" t="s">
        <v>84</v>
      </c>
      <c r="D20" s="20">
        <v>0.5</v>
      </c>
      <c r="E20" s="23">
        <v>0.5</v>
      </c>
      <c r="F20" s="23">
        <v>0.5</v>
      </c>
      <c r="G20" s="20">
        <v>0.0</v>
      </c>
      <c r="H20" s="23">
        <v>7.7</v>
      </c>
      <c r="I20" s="23">
        <v>6.1</v>
      </c>
      <c r="J20" s="24">
        <v>0.0</v>
      </c>
      <c r="K20" s="25" t="s">
        <v>148</v>
      </c>
    </row>
    <row r="21" ht="12.75" customHeight="1">
      <c r="A21" s="16">
        <v>30.0</v>
      </c>
      <c r="B21" s="19" t="s">
        <v>133</v>
      </c>
      <c r="C21" s="19" t="s">
        <v>87</v>
      </c>
      <c r="D21" s="20">
        <v>0.5</v>
      </c>
      <c r="E21" s="23">
        <v>0.4</v>
      </c>
      <c r="F21" s="23">
        <v>0.45</v>
      </c>
      <c r="G21" s="20">
        <v>1.0</v>
      </c>
      <c r="H21" s="23">
        <v>-3.0</v>
      </c>
      <c r="I21" s="23">
        <v>0.0</v>
      </c>
      <c r="J21" s="24">
        <v>0.0</v>
      </c>
      <c r="K21" s="25" t="s">
        <v>148</v>
      </c>
    </row>
    <row r="22" ht="12.75" customHeight="1">
      <c r="A22" s="16">
        <v>33.0</v>
      </c>
      <c r="B22" s="19" t="s">
        <v>136</v>
      </c>
      <c r="C22" s="19" t="s">
        <v>93</v>
      </c>
      <c r="D22" s="20">
        <v>0.4</v>
      </c>
      <c r="E22" s="23">
        <v>0.45</v>
      </c>
      <c r="F22" s="23">
        <v>0.45</v>
      </c>
      <c r="G22" s="20">
        <v>1.0</v>
      </c>
      <c r="H22" s="23">
        <v>-3.0</v>
      </c>
      <c r="I22" s="23">
        <v>0.0</v>
      </c>
      <c r="J22" s="24">
        <v>0.0</v>
      </c>
      <c r="K22" s="25" t="s">
        <v>148</v>
      </c>
    </row>
    <row r="23" ht="12.75" customHeight="1">
      <c r="A23" s="16">
        <v>35.0</v>
      </c>
      <c r="B23" s="19" t="s">
        <v>138</v>
      </c>
      <c r="C23" s="19" t="s">
        <v>97</v>
      </c>
      <c r="D23" s="20">
        <v>0.5</v>
      </c>
      <c r="E23" s="23">
        <v>0.0</v>
      </c>
      <c r="F23" s="23">
        <v>0.0</v>
      </c>
      <c r="G23" s="20">
        <v>0.0</v>
      </c>
      <c r="H23" s="23">
        <v>7.5</v>
      </c>
      <c r="I23" s="23">
        <v>5.0</v>
      </c>
      <c r="J23" s="24">
        <v>0.0</v>
      </c>
      <c r="K23" s="25" t="s">
        <v>148</v>
      </c>
    </row>
    <row r="24" ht="12.75" customHeight="1">
      <c r="A24" s="16">
        <v>36.0</v>
      </c>
      <c r="B24" s="19" t="s">
        <v>139</v>
      </c>
      <c r="C24" s="19" t="s">
        <v>99</v>
      </c>
      <c r="D24" s="20">
        <v>0.5</v>
      </c>
      <c r="E24" s="23">
        <v>0.35</v>
      </c>
      <c r="F24" s="23">
        <v>0.45</v>
      </c>
      <c r="G24" s="20">
        <v>0.5</v>
      </c>
      <c r="H24" s="23">
        <v>5.5</v>
      </c>
      <c r="I24" s="23">
        <v>5.1</v>
      </c>
      <c r="J24" s="24">
        <v>5.6</v>
      </c>
      <c r="K24" s="25" t="s">
        <v>151</v>
      </c>
    </row>
    <row r="25" ht="12.75" customHeight="1">
      <c r="A25" s="16">
        <v>37.0</v>
      </c>
      <c r="B25" s="19" t="s">
        <v>140</v>
      </c>
      <c r="C25" s="19" t="s">
        <v>101</v>
      </c>
      <c r="D25" s="20">
        <v>0.5</v>
      </c>
      <c r="E25" s="23">
        <v>0.4</v>
      </c>
      <c r="F25" s="23">
        <v>0.4</v>
      </c>
      <c r="G25" s="20">
        <v>0.3</v>
      </c>
      <c r="H25" s="23">
        <v>6.7</v>
      </c>
      <c r="I25" s="23">
        <v>5.6</v>
      </c>
      <c r="J25" s="24">
        <v>6.6</v>
      </c>
      <c r="K25" s="25" t="s">
        <v>152</v>
      </c>
    </row>
    <row r="26" ht="12.75" customHeight="1">
      <c r="A26" s="16">
        <v>38.0</v>
      </c>
      <c r="B26" s="19" t="s">
        <v>141</v>
      </c>
      <c r="C26" s="19" t="s">
        <v>104</v>
      </c>
      <c r="D26" s="20">
        <v>0.3</v>
      </c>
      <c r="E26" s="23">
        <v>0.4</v>
      </c>
      <c r="F26" s="23">
        <v>0.45</v>
      </c>
      <c r="G26" s="20">
        <v>1.0</v>
      </c>
      <c r="H26" s="23">
        <v>5.5</v>
      </c>
      <c r="I26" s="23">
        <v>5.5</v>
      </c>
      <c r="J26" s="24">
        <v>6.5</v>
      </c>
      <c r="K26" s="25" t="s">
        <v>152</v>
      </c>
    </row>
    <row r="27" ht="12.75" customHeight="1">
      <c r="A27" s="16">
        <v>39.0</v>
      </c>
      <c r="B27" s="19" t="s">
        <v>142</v>
      </c>
      <c r="C27" s="19" t="s">
        <v>106</v>
      </c>
      <c r="D27" s="20">
        <v>0.4</v>
      </c>
      <c r="E27" s="23">
        <v>0.4</v>
      </c>
      <c r="F27" s="23">
        <v>0.4</v>
      </c>
      <c r="G27" s="20">
        <v>0.75</v>
      </c>
      <c r="H27" s="23">
        <v>3.2</v>
      </c>
      <c r="I27" s="23">
        <v>3.9</v>
      </c>
      <c r="J27" s="24">
        <v>4.4</v>
      </c>
      <c r="K27" s="25" t="s">
        <v>149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K2:K27">
    <cfRule type="cellIs" dxfId="0" priority="1" operator="lessThan">
      <formula>4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0.29"/>
    <col customWidth="1" min="3" max="3" width="27.0"/>
    <col customWidth="1" min="4" max="9" width="8.71"/>
    <col customWidth="1" min="10" max="10" width="17.29"/>
    <col customWidth="1" min="11" max="26" width="8.71"/>
  </cols>
  <sheetData>
    <row r="1" ht="12.75" customHeight="1">
      <c r="A1" s="21" t="s">
        <v>4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10</v>
      </c>
      <c r="G1" s="21" t="s">
        <v>35</v>
      </c>
      <c r="H1" s="21" t="s">
        <v>36</v>
      </c>
      <c r="I1" s="21" t="s">
        <v>37</v>
      </c>
      <c r="J1" s="21" t="s">
        <v>38</v>
      </c>
      <c r="K1" s="21" t="s">
        <v>39</v>
      </c>
    </row>
    <row r="2" ht="12.75" customHeight="1">
      <c r="A2" s="16">
        <v>6.0</v>
      </c>
      <c r="B2" s="19" t="s">
        <v>109</v>
      </c>
      <c r="C2" s="19" t="s">
        <v>32</v>
      </c>
      <c r="D2" s="20">
        <v>0.4</v>
      </c>
      <c r="E2" s="23">
        <v>0.45</v>
      </c>
      <c r="F2" s="23">
        <v>0.5</v>
      </c>
      <c r="G2" s="20">
        <v>1.2</v>
      </c>
      <c r="H2" s="23">
        <v>7.5</v>
      </c>
      <c r="I2" s="23">
        <v>7.1</v>
      </c>
      <c r="J2" s="24">
        <v>8.1</v>
      </c>
      <c r="K2" s="25" t="s">
        <v>154</v>
      </c>
    </row>
    <row r="3" ht="12.75" customHeight="1">
      <c r="A3" s="16">
        <v>23.0</v>
      </c>
      <c r="B3" s="19" t="s">
        <v>126</v>
      </c>
      <c r="C3" s="19" t="s">
        <v>72</v>
      </c>
      <c r="D3" s="20">
        <v>0.5</v>
      </c>
      <c r="E3" s="23">
        <v>0.5</v>
      </c>
      <c r="F3" s="23">
        <v>0.5</v>
      </c>
      <c r="G3" s="20">
        <v>1.5</v>
      </c>
      <c r="H3" s="23">
        <v>7.5</v>
      </c>
      <c r="I3" s="23">
        <v>7.5</v>
      </c>
      <c r="J3" s="24">
        <v>8.5</v>
      </c>
      <c r="K3" s="25" t="s">
        <v>154</v>
      </c>
    </row>
    <row r="4" ht="12.75" customHeight="1">
      <c r="A4" s="16">
        <v>24.0</v>
      </c>
      <c r="B4" s="19" t="s">
        <v>127</v>
      </c>
      <c r="C4" s="19" t="s">
        <v>74</v>
      </c>
      <c r="D4" s="20">
        <v>0.45</v>
      </c>
      <c r="E4" s="23">
        <v>0.3</v>
      </c>
      <c r="F4" s="23">
        <v>0.45</v>
      </c>
      <c r="G4" s="20">
        <v>1.2</v>
      </c>
      <c r="H4" s="23">
        <v>8.8</v>
      </c>
      <c r="I4" s="23">
        <v>7.7</v>
      </c>
      <c r="J4" s="24">
        <v>8.0</v>
      </c>
      <c r="K4" s="25" t="s">
        <v>154</v>
      </c>
    </row>
    <row r="5" ht="12.75" customHeight="1">
      <c r="A5" s="16">
        <v>27.0</v>
      </c>
      <c r="B5" s="19" t="s">
        <v>130</v>
      </c>
      <c r="C5" s="19" t="s">
        <v>80</v>
      </c>
      <c r="D5" s="20">
        <v>0.5</v>
      </c>
      <c r="E5" s="23">
        <v>0.4</v>
      </c>
      <c r="F5" s="23">
        <v>0.45</v>
      </c>
      <c r="G5" s="20">
        <v>1.5</v>
      </c>
      <c r="H5" s="23">
        <v>8.8</v>
      </c>
      <c r="I5" s="23">
        <v>8.1</v>
      </c>
      <c r="J5" s="24">
        <v>9.1</v>
      </c>
      <c r="K5" s="25" t="s">
        <v>155</v>
      </c>
    </row>
    <row r="6" ht="12.75" customHeight="1">
      <c r="A6" s="16">
        <v>28.0</v>
      </c>
      <c r="B6" s="19" t="s">
        <v>131</v>
      </c>
      <c r="C6" s="19" t="s">
        <v>82</v>
      </c>
      <c r="D6" s="20">
        <v>0.5</v>
      </c>
      <c r="E6" s="23">
        <v>0.45</v>
      </c>
      <c r="F6" s="23">
        <v>0.45</v>
      </c>
      <c r="G6" s="20">
        <v>1.0</v>
      </c>
      <c r="H6" s="23">
        <v>7.8</v>
      </c>
      <c r="I6" s="23">
        <v>7.1</v>
      </c>
      <c r="J6" s="24">
        <v>8.1</v>
      </c>
      <c r="K6" s="25" t="s">
        <v>154</v>
      </c>
    </row>
    <row r="7" ht="12.75" customHeight="1">
      <c r="A7" s="16">
        <v>31.0</v>
      </c>
      <c r="B7" s="19" t="s">
        <v>134</v>
      </c>
      <c r="C7" s="19" t="s">
        <v>89</v>
      </c>
      <c r="D7" s="20">
        <v>0.4</v>
      </c>
      <c r="E7" s="23">
        <v>0.5</v>
      </c>
      <c r="F7" s="23">
        <v>0.5</v>
      </c>
      <c r="G7" s="20">
        <v>1.0</v>
      </c>
      <c r="H7" s="23">
        <v>9.2</v>
      </c>
      <c r="I7" s="23">
        <v>7.9</v>
      </c>
      <c r="J7" s="24">
        <v>8.9</v>
      </c>
      <c r="K7" s="25" t="s">
        <v>154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J2:K7">
    <cfRule type="cellIs" dxfId="0" priority="1" operator="lessThan">
      <formula>4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2021-06-18T08:44:47Z</dcterms:created>
  <dc:creator>Unknown Creator</dc:creator>
</cp:coreProperties>
</file>